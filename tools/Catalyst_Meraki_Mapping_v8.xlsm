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miwatt/Downloads/"/>
    </mc:Choice>
  </mc:AlternateContent>
  <xr:revisionPtr revIDLastSave="0" documentId="13_ncr:1_{8B7C57C4-198F-D940-A4A2-7564D72C4E57}" xr6:coauthVersionLast="45" xr6:coauthVersionMax="45" xr10:uidLastSave="{00000000-0000-0000-0000-000000000000}"/>
  <bookViews>
    <workbookView xWindow="0" yWindow="460" windowWidth="33600" windowHeight="18940" xr2:uid="{803A918E-D966-AD45-85EB-CCAA6C0F3C09}"/>
  </bookViews>
  <sheets>
    <sheet name="Version" sheetId="1" r:id="rId1"/>
    <sheet name="Database" sheetId="10" r:id="rId2"/>
    <sheet name="Catalyst" sheetId="4" r:id="rId3"/>
    <sheet name="Meraki" sheetId="6" r:id="rId4"/>
    <sheet name="Mapping" sheetId="7" r:id="rId5"/>
    <sheet name="Users" sheetId="11" r:id="rId6"/>
  </sheets>
  <definedNames>
    <definedName name="_xlnm._FilterDatabase" localSheetId="2" hidden="1">Catalyst!$AL$2:$AL$375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38" i="4" l="1"/>
  <c r="A345" i="4" l="1"/>
  <c r="A346" i="4"/>
  <c r="Y337" i="4"/>
  <c r="X337" i="4"/>
  <c r="W337" i="4"/>
  <c r="V337" i="4"/>
  <c r="U337" i="4"/>
  <c r="A337" i="4"/>
  <c r="Y336" i="4"/>
  <c r="X336" i="4"/>
  <c r="W336" i="4"/>
  <c r="V336" i="4"/>
  <c r="U336" i="4"/>
  <c r="A336" i="4"/>
  <c r="Y335" i="4"/>
  <c r="X335" i="4"/>
  <c r="W335" i="4"/>
  <c r="V335" i="4"/>
  <c r="U335" i="4"/>
  <c r="A335" i="4"/>
  <c r="Y334" i="4"/>
  <c r="X334" i="4"/>
  <c r="W334" i="4"/>
  <c r="V334" i="4"/>
  <c r="U334" i="4"/>
  <c r="A334" i="4"/>
  <c r="Y333" i="4"/>
  <c r="X333" i="4"/>
  <c r="W333" i="4"/>
  <c r="V333" i="4"/>
  <c r="U333" i="4"/>
  <c r="A333" i="4"/>
  <c r="Y332" i="4"/>
  <c r="X332" i="4"/>
  <c r="W332" i="4"/>
  <c r="V332" i="4"/>
  <c r="U332" i="4"/>
  <c r="A332" i="4"/>
  <c r="Y331" i="4"/>
  <c r="X331" i="4"/>
  <c r="W331" i="4"/>
  <c r="V331" i="4"/>
  <c r="U331" i="4"/>
  <c r="A331" i="4"/>
  <c r="Y330" i="4"/>
  <c r="X330" i="4"/>
  <c r="W330" i="4"/>
  <c r="V330" i="4"/>
  <c r="U330" i="4"/>
  <c r="A330" i="4"/>
  <c r="Y329" i="4"/>
  <c r="X329" i="4"/>
  <c r="W329" i="4"/>
  <c r="V329" i="4"/>
  <c r="U329" i="4"/>
  <c r="A329" i="4"/>
  <c r="Y328" i="4"/>
  <c r="X328" i="4"/>
  <c r="W328" i="4"/>
  <c r="V328" i="4"/>
  <c r="U328" i="4"/>
  <c r="A328" i="4"/>
  <c r="Y327" i="4"/>
  <c r="X327" i="4"/>
  <c r="W327" i="4"/>
  <c r="V327" i="4"/>
  <c r="U327" i="4"/>
  <c r="A327" i="4"/>
  <c r="Y326" i="4"/>
  <c r="X326" i="4"/>
  <c r="W326" i="4"/>
  <c r="V326" i="4"/>
  <c r="U326" i="4"/>
  <c r="A326" i="4"/>
  <c r="Y325" i="4"/>
  <c r="X325" i="4"/>
  <c r="W325" i="4"/>
  <c r="V325" i="4"/>
  <c r="U325" i="4"/>
  <c r="A325" i="4"/>
  <c r="Y324" i="4"/>
  <c r="X324" i="4"/>
  <c r="W324" i="4"/>
  <c r="V324" i="4"/>
  <c r="U324" i="4"/>
  <c r="A324" i="4"/>
  <c r="Y323" i="4"/>
  <c r="X323" i="4"/>
  <c r="W323" i="4"/>
  <c r="V323" i="4"/>
  <c r="U323" i="4"/>
  <c r="A323" i="4"/>
  <c r="Y322" i="4"/>
  <c r="X322" i="4"/>
  <c r="W322" i="4"/>
  <c r="V322" i="4"/>
  <c r="U322" i="4"/>
  <c r="A322" i="4"/>
  <c r="Y321" i="4"/>
  <c r="X321" i="4"/>
  <c r="W321" i="4"/>
  <c r="V321" i="4"/>
  <c r="U321" i="4"/>
  <c r="A321" i="4"/>
  <c r="Y320" i="4"/>
  <c r="X320" i="4"/>
  <c r="W320" i="4"/>
  <c r="V320" i="4"/>
  <c r="U320" i="4"/>
  <c r="A320" i="4"/>
  <c r="Y319" i="4"/>
  <c r="X319" i="4"/>
  <c r="W319" i="4"/>
  <c r="V319" i="4"/>
  <c r="U319" i="4"/>
  <c r="A319" i="4"/>
  <c r="Y318" i="4"/>
  <c r="X318" i="4"/>
  <c r="W318" i="4"/>
  <c r="V318" i="4"/>
  <c r="U318" i="4"/>
  <c r="A318" i="4"/>
  <c r="Y317" i="4"/>
  <c r="X317" i="4"/>
  <c r="W317" i="4"/>
  <c r="V317" i="4"/>
  <c r="U317" i="4"/>
  <c r="A317" i="4"/>
  <c r="Y316" i="4"/>
  <c r="X316" i="4"/>
  <c r="W316" i="4"/>
  <c r="V316" i="4"/>
  <c r="U316" i="4"/>
  <c r="A316" i="4"/>
  <c r="Y315" i="4"/>
  <c r="X315" i="4"/>
  <c r="W315" i="4"/>
  <c r="V315" i="4"/>
  <c r="U315" i="4"/>
  <c r="A315" i="4"/>
  <c r="Y314" i="4"/>
  <c r="X314" i="4"/>
  <c r="W314" i="4"/>
  <c r="V314" i="4"/>
  <c r="U314" i="4"/>
  <c r="A314" i="4"/>
  <c r="Y313" i="4"/>
  <c r="X313" i="4"/>
  <c r="W313" i="4"/>
  <c r="V313" i="4"/>
  <c r="U313" i="4"/>
  <c r="A313" i="4"/>
  <c r="Y312" i="4"/>
  <c r="X312" i="4"/>
  <c r="W312" i="4"/>
  <c r="V312" i="4"/>
  <c r="U312" i="4"/>
  <c r="A312" i="4"/>
  <c r="Y311" i="4"/>
  <c r="X311" i="4"/>
  <c r="W311" i="4"/>
  <c r="V311" i="4"/>
  <c r="U311" i="4"/>
  <c r="A311" i="4"/>
  <c r="Y310" i="4"/>
  <c r="X310" i="4"/>
  <c r="W310" i="4"/>
  <c r="V310" i="4"/>
  <c r="U310" i="4"/>
  <c r="A310" i="4"/>
  <c r="Y309" i="4"/>
  <c r="X309" i="4"/>
  <c r="W309" i="4"/>
  <c r="V309" i="4"/>
  <c r="U309" i="4"/>
  <c r="A309" i="4"/>
  <c r="Y308" i="4"/>
  <c r="X308" i="4"/>
  <c r="W308" i="4"/>
  <c r="V308" i="4"/>
  <c r="U308" i="4"/>
  <c r="A308" i="4"/>
  <c r="Y307" i="4"/>
  <c r="X307" i="4"/>
  <c r="W307" i="4"/>
  <c r="V307" i="4"/>
  <c r="U307" i="4"/>
  <c r="A307" i="4"/>
  <c r="Y306" i="4"/>
  <c r="X306" i="4"/>
  <c r="W306" i="4"/>
  <c r="V306" i="4"/>
  <c r="U306" i="4"/>
  <c r="A306" i="4"/>
  <c r="Y305" i="4"/>
  <c r="X305" i="4"/>
  <c r="W305" i="4"/>
  <c r="V305" i="4"/>
  <c r="U305" i="4"/>
  <c r="A305" i="4"/>
  <c r="Y304" i="4"/>
  <c r="X304" i="4"/>
  <c r="W304" i="4"/>
  <c r="V304" i="4"/>
  <c r="U304" i="4"/>
  <c r="A304" i="4"/>
  <c r="Y303" i="4"/>
  <c r="X303" i="4"/>
  <c r="W303" i="4"/>
  <c r="V303" i="4"/>
  <c r="U303" i="4"/>
  <c r="A303" i="4"/>
  <c r="Y302" i="4"/>
  <c r="X302" i="4"/>
  <c r="W302" i="4"/>
  <c r="V302" i="4"/>
  <c r="U302" i="4"/>
  <c r="A302" i="4"/>
  <c r="Y301" i="4"/>
  <c r="X301" i="4"/>
  <c r="W301" i="4"/>
  <c r="V301" i="4"/>
  <c r="U301" i="4"/>
  <c r="A301" i="4"/>
  <c r="Y300" i="4"/>
  <c r="X300" i="4"/>
  <c r="W300" i="4"/>
  <c r="V300" i="4"/>
  <c r="U300" i="4"/>
  <c r="A300" i="4"/>
  <c r="Y299" i="4"/>
  <c r="X299" i="4"/>
  <c r="W299" i="4"/>
  <c r="V299" i="4"/>
  <c r="U299" i="4"/>
  <c r="A299" i="4"/>
  <c r="Y298" i="4"/>
  <c r="X298" i="4"/>
  <c r="W298" i="4"/>
  <c r="V298" i="4"/>
  <c r="U298" i="4"/>
  <c r="A298" i="4"/>
  <c r="Y297" i="4"/>
  <c r="X297" i="4"/>
  <c r="W297" i="4"/>
  <c r="V297" i="4"/>
  <c r="U297" i="4"/>
  <c r="A297" i="4"/>
  <c r="Y296" i="4"/>
  <c r="X296" i="4"/>
  <c r="W296" i="4"/>
  <c r="V296" i="4"/>
  <c r="U296" i="4"/>
  <c r="A296" i="4"/>
  <c r="Y295" i="4"/>
  <c r="X295" i="4"/>
  <c r="W295" i="4"/>
  <c r="V295" i="4"/>
  <c r="U295" i="4"/>
  <c r="A295" i="4"/>
  <c r="Y294" i="4"/>
  <c r="X294" i="4"/>
  <c r="W294" i="4"/>
  <c r="V294" i="4"/>
  <c r="U294" i="4"/>
  <c r="A294" i="4"/>
  <c r="Y293" i="4"/>
  <c r="X293" i="4"/>
  <c r="W293" i="4"/>
  <c r="V293" i="4"/>
  <c r="U293" i="4"/>
  <c r="A293" i="4"/>
  <c r="Y292" i="4"/>
  <c r="X292" i="4"/>
  <c r="W292" i="4"/>
  <c r="V292" i="4"/>
  <c r="U292" i="4"/>
  <c r="A292" i="4"/>
  <c r="Y291" i="4"/>
  <c r="X291" i="4"/>
  <c r="W291" i="4"/>
  <c r="V291" i="4"/>
  <c r="U291" i="4"/>
  <c r="A291" i="4"/>
  <c r="Y290" i="4"/>
  <c r="X290" i="4"/>
  <c r="W290" i="4"/>
  <c r="V290" i="4"/>
  <c r="U290" i="4"/>
  <c r="A290" i="4"/>
  <c r="Y289" i="4"/>
  <c r="X289" i="4"/>
  <c r="W289" i="4"/>
  <c r="V289" i="4"/>
  <c r="U289" i="4"/>
  <c r="A289" i="4"/>
  <c r="Y288" i="4"/>
  <c r="X288" i="4"/>
  <c r="W288" i="4"/>
  <c r="V288" i="4"/>
  <c r="U288" i="4"/>
  <c r="A288" i="4"/>
  <c r="Y287" i="4"/>
  <c r="X287" i="4"/>
  <c r="W287" i="4"/>
  <c r="V287" i="4"/>
  <c r="U287" i="4"/>
  <c r="A287" i="4"/>
  <c r="Y286" i="4"/>
  <c r="X286" i="4"/>
  <c r="W286" i="4"/>
  <c r="V286" i="4"/>
  <c r="U286" i="4"/>
  <c r="A286" i="4"/>
  <c r="Y285" i="4"/>
  <c r="X285" i="4"/>
  <c r="W285" i="4"/>
  <c r="V285" i="4"/>
  <c r="U285" i="4"/>
  <c r="A285" i="4"/>
  <c r="Y284" i="4"/>
  <c r="X284" i="4"/>
  <c r="W284" i="4"/>
  <c r="V284" i="4"/>
  <c r="U284" i="4"/>
  <c r="A284" i="4"/>
  <c r="Y283" i="4"/>
  <c r="X283" i="4"/>
  <c r="W283" i="4"/>
  <c r="V283" i="4"/>
  <c r="U283" i="4"/>
  <c r="A283" i="4"/>
  <c r="Y282" i="4"/>
  <c r="X282" i="4"/>
  <c r="W282" i="4"/>
  <c r="V282" i="4"/>
  <c r="U282" i="4"/>
  <c r="A282" i="4"/>
  <c r="Y281" i="4"/>
  <c r="X281" i="4"/>
  <c r="W281" i="4"/>
  <c r="V281" i="4"/>
  <c r="U281" i="4"/>
  <c r="A281" i="4"/>
  <c r="Y280" i="4"/>
  <c r="X280" i="4"/>
  <c r="W280" i="4"/>
  <c r="V280" i="4"/>
  <c r="U280" i="4"/>
  <c r="A280" i="4"/>
  <c r="Y279" i="4"/>
  <c r="X279" i="4"/>
  <c r="W279" i="4"/>
  <c r="V279" i="4"/>
  <c r="U279" i="4"/>
  <c r="A279" i="4"/>
  <c r="Y278" i="4"/>
  <c r="X278" i="4"/>
  <c r="W278" i="4"/>
  <c r="V278" i="4"/>
  <c r="U278" i="4"/>
  <c r="A278" i="4"/>
  <c r="Y277" i="4"/>
  <c r="X277" i="4"/>
  <c r="W277" i="4"/>
  <c r="V277" i="4"/>
  <c r="U277" i="4"/>
  <c r="A277" i="4"/>
  <c r="Y276" i="4"/>
  <c r="X276" i="4"/>
  <c r="W276" i="4"/>
  <c r="V276" i="4"/>
  <c r="U276" i="4"/>
  <c r="A276" i="4"/>
  <c r="Y275" i="4"/>
  <c r="X275" i="4"/>
  <c r="W275" i="4"/>
  <c r="V275" i="4"/>
  <c r="U275" i="4"/>
  <c r="A275" i="4"/>
  <c r="Y274" i="4"/>
  <c r="X274" i="4"/>
  <c r="W274" i="4"/>
  <c r="V274" i="4"/>
  <c r="U274" i="4"/>
  <c r="A274" i="4"/>
  <c r="Y273" i="4"/>
  <c r="X273" i="4"/>
  <c r="W273" i="4"/>
  <c r="V273" i="4"/>
  <c r="U273" i="4"/>
  <c r="A273" i="4"/>
  <c r="Y272" i="4"/>
  <c r="X272" i="4"/>
  <c r="W272" i="4"/>
  <c r="V272" i="4"/>
  <c r="U272" i="4"/>
  <c r="A272" i="4"/>
  <c r="Y271" i="4"/>
  <c r="X271" i="4"/>
  <c r="W271" i="4"/>
  <c r="V271" i="4"/>
  <c r="U271" i="4"/>
  <c r="A271" i="4"/>
  <c r="Y270" i="4"/>
  <c r="X270" i="4"/>
  <c r="W270" i="4"/>
  <c r="V270" i="4"/>
  <c r="U270" i="4"/>
  <c r="A270" i="4"/>
  <c r="Y269" i="4"/>
  <c r="X269" i="4"/>
  <c r="W269" i="4"/>
  <c r="V269" i="4"/>
  <c r="U269" i="4"/>
  <c r="A269" i="4"/>
  <c r="Y268" i="4"/>
  <c r="X268" i="4"/>
  <c r="W268" i="4"/>
  <c r="V268" i="4"/>
  <c r="U268" i="4"/>
  <c r="A268" i="4"/>
  <c r="Y267" i="4"/>
  <c r="X267" i="4"/>
  <c r="W267" i="4"/>
  <c r="V267" i="4"/>
  <c r="U267" i="4"/>
  <c r="A267" i="4"/>
  <c r="Y266" i="4"/>
  <c r="X266" i="4"/>
  <c r="W266" i="4"/>
  <c r="V266" i="4"/>
  <c r="U266" i="4"/>
  <c r="A266" i="4"/>
  <c r="Y265" i="4"/>
  <c r="X265" i="4"/>
  <c r="W265" i="4"/>
  <c r="V265" i="4"/>
  <c r="U265" i="4"/>
  <c r="A265" i="4"/>
  <c r="Y264" i="4"/>
  <c r="X264" i="4"/>
  <c r="W264" i="4"/>
  <c r="V264" i="4"/>
  <c r="U264" i="4"/>
  <c r="A264" i="4"/>
  <c r="Y263" i="4"/>
  <c r="X263" i="4"/>
  <c r="W263" i="4"/>
  <c r="V263" i="4"/>
  <c r="U263" i="4"/>
  <c r="A263" i="4"/>
  <c r="Y262" i="4"/>
  <c r="X262" i="4"/>
  <c r="W262" i="4"/>
  <c r="V262" i="4"/>
  <c r="U262" i="4"/>
  <c r="A262" i="4"/>
  <c r="Y261" i="4"/>
  <c r="X261" i="4"/>
  <c r="W261" i="4"/>
  <c r="V261" i="4"/>
  <c r="U261" i="4"/>
  <c r="A261" i="4"/>
  <c r="Y260" i="4"/>
  <c r="X260" i="4"/>
  <c r="W260" i="4"/>
  <c r="V260" i="4"/>
  <c r="U260" i="4"/>
  <c r="A260" i="4"/>
  <c r="Y259" i="4"/>
  <c r="X259" i="4"/>
  <c r="W259" i="4"/>
  <c r="V259" i="4"/>
  <c r="U259" i="4"/>
  <c r="A259" i="4"/>
  <c r="Y258" i="4"/>
  <c r="X258" i="4"/>
  <c r="W258" i="4"/>
  <c r="V258" i="4"/>
  <c r="U258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U165" i="4"/>
  <c r="V165" i="4"/>
  <c r="W165" i="4"/>
  <c r="X165" i="4"/>
  <c r="Y165" i="4"/>
  <c r="U166" i="4"/>
  <c r="V166" i="4"/>
  <c r="W166" i="4"/>
  <c r="X166" i="4"/>
  <c r="Y166" i="4"/>
  <c r="U167" i="4"/>
  <c r="V167" i="4"/>
  <c r="W167" i="4"/>
  <c r="X167" i="4"/>
  <c r="Y167" i="4"/>
  <c r="U168" i="4"/>
  <c r="V168" i="4"/>
  <c r="W168" i="4"/>
  <c r="X168" i="4"/>
  <c r="Y168" i="4"/>
  <c r="U169" i="4"/>
  <c r="V169" i="4"/>
  <c r="W169" i="4"/>
  <c r="X169" i="4"/>
  <c r="Y169" i="4"/>
  <c r="U170" i="4"/>
  <c r="V170" i="4"/>
  <c r="W170" i="4"/>
  <c r="X170" i="4"/>
  <c r="Y170" i="4"/>
  <c r="U171" i="4"/>
  <c r="V171" i="4"/>
  <c r="W171" i="4"/>
  <c r="X171" i="4"/>
  <c r="Y171" i="4"/>
  <c r="U172" i="4"/>
  <c r="V172" i="4"/>
  <c r="W172" i="4"/>
  <c r="X172" i="4"/>
  <c r="Y172" i="4"/>
  <c r="U173" i="4"/>
  <c r="V173" i="4"/>
  <c r="W173" i="4"/>
  <c r="X173" i="4"/>
  <c r="Y173" i="4"/>
  <c r="U174" i="4"/>
  <c r="V174" i="4"/>
  <c r="W174" i="4"/>
  <c r="X174" i="4"/>
  <c r="Y174" i="4"/>
  <c r="U175" i="4"/>
  <c r="V175" i="4"/>
  <c r="W175" i="4"/>
  <c r="X175" i="4"/>
  <c r="Y175" i="4"/>
  <c r="U176" i="4"/>
  <c r="V176" i="4"/>
  <c r="W176" i="4"/>
  <c r="X176" i="4"/>
  <c r="Y176" i="4"/>
  <c r="U177" i="4"/>
  <c r="V177" i="4"/>
  <c r="W177" i="4"/>
  <c r="X177" i="4"/>
  <c r="Y177" i="4"/>
  <c r="U178" i="4"/>
  <c r="V178" i="4"/>
  <c r="W178" i="4"/>
  <c r="X178" i="4"/>
  <c r="Y178" i="4"/>
  <c r="U179" i="4"/>
  <c r="V179" i="4"/>
  <c r="W179" i="4"/>
  <c r="X179" i="4"/>
  <c r="Y179" i="4"/>
  <c r="U180" i="4"/>
  <c r="V180" i="4"/>
  <c r="W180" i="4"/>
  <c r="X180" i="4"/>
  <c r="Y180" i="4"/>
  <c r="U181" i="4"/>
  <c r="V181" i="4"/>
  <c r="W181" i="4"/>
  <c r="X181" i="4"/>
  <c r="Y181" i="4"/>
  <c r="U182" i="4"/>
  <c r="V182" i="4"/>
  <c r="W182" i="4"/>
  <c r="X182" i="4"/>
  <c r="Y182" i="4"/>
  <c r="U183" i="4"/>
  <c r="V183" i="4"/>
  <c r="W183" i="4"/>
  <c r="X183" i="4"/>
  <c r="Y183" i="4"/>
  <c r="U184" i="4"/>
  <c r="V184" i="4"/>
  <c r="W184" i="4"/>
  <c r="X184" i="4"/>
  <c r="Y184" i="4"/>
  <c r="U185" i="4"/>
  <c r="V185" i="4"/>
  <c r="W185" i="4"/>
  <c r="X185" i="4"/>
  <c r="Y185" i="4"/>
  <c r="U186" i="4"/>
  <c r="V186" i="4"/>
  <c r="W186" i="4"/>
  <c r="X186" i="4"/>
  <c r="Y186" i="4"/>
  <c r="U187" i="4"/>
  <c r="V187" i="4"/>
  <c r="W187" i="4"/>
  <c r="X187" i="4"/>
  <c r="Y187" i="4"/>
  <c r="U188" i="4"/>
  <c r="V188" i="4"/>
  <c r="W188" i="4"/>
  <c r="X188" i="4"/>
  <c r="Y188" i="4"/>
  <c r="U189" i="4"/>
  <c r="V189" i="4"/>
  <c r="W189" i="4"/>
  <c r="X189" i="4"/>
  <c r="Y189" i="4"/>
  <c r="U190" i="4"/>
  <c r="V190" i="4"/>
  <c r="W190" i="4"/>
  <c r="X190" i="4"/>
  <c r="Y190" i="4"/>
  <c r="U191" i="4"/>
  <c r="V191" i="4"/>
  <c r="W191" i="4"/>
  <c r="X191" i="4"/>
  <c r="Y191" i="4"/>
  <c r="U192" i="4"/>
  <c r="V192" i="4"/>
  <c r="W192" i="4"/>
  <c r="X192" i="4"/>
  <c r="Y192" i="4"/>
  <c r="U193" i="4"/>
  <c r="V193" i="4"/>
  <c r="W193" i="4"/>
  <c r="X193" i="4"/>
  <c r="Y193" i="4"/>
  <c r="U194" i="4"/>
  <c r="V194" i="4"/>
  <c r="W194" i="4"/>
  <c r="X194" i="4"/>
  <c r="Y194" i="4"/>
  <c r="U195" i="4"/>
  <c r="V195" i="4"/>
  <c r="W195" i="4"/>
  <c r="X195" i="4"/>
  <c r="Y195" i="4"/>
  <c r="U196" i="4"/>
  <c r="V196" i="4"/>
  <c r="W196" i="4"/>
  <c r="X196" i="4"/>
  <c r="Y196" i="4"/>
  <c r="U197" i="4"/>
  <c r="V197" i="4"/>
  <c r="W197" i="4"/>
  <c r="X197" i="4"/>
  <c r="Y197" i="4"/>
  <c r="U198" i="4"/>
  <c r="V198" i="4"/>
  <c r="W198" i="4"/>
  <c r="X198" i="4"/>
  <c r="Y198" i="4"/>
  <c r="U199" i="4"/>
  <c r="V199" i="4"/>
  <c r="W199" i="4"/>
  <c r="X199" i="4"/>
  <c r="Y199" i="4"/>
  <c r="U200" i="4"/>
  <c r="V200" i="4"/>
  <c r="W200" i="4"/>
  <c r="X200" i="4"/>
  <c r="Y200" i="4"/>
  <c r="U201" i="4"/>
  <c r="V201" i="4"/>
  <c r="W201" i="4"/>
  <c r="X201" i="4"/>
  <c r="Y201" i="4"/>
  <c r="U202" i="4"/>
  <c r="V202" i="4"/>
  <c r="W202" i="4"/>
  <c r="X202" i="4"/>
  <c r="Y202" i="4"/>
  <c r="U203" i="4"/>
  <c r="V203" i="4"/>
  <c r="W203" i="4"/>
  <c r="X203" i="4"/>
  <c r="Y203" i="4"/>
  <c r="U204" i="4"/>
  <c r="V204" i="4"/>
  <c r="W204" i="4"/>
  <c r="X204" i="4"/>
  <c r="Y204" i="4"/>
  <c r="U205" i="4"/>
  <c r="V205" i="4"/>
  <c r="W205" i="4"/>
  <c r="X205" i="4"/>
  <c r="Y205" i="4"/>
  <c r="U206" i="4"/>
  <c r="V206" i="4"/>
  <c r="W206" i="4"/>
  <c r="X206" i="4"/>
  <c r="Y206" i="4"/>
  <c r="U207" i="4"/>
  <c r="V207" i="4"/>
  <c r="W207" i="4"/>
  <c r="X207" i="4"/>
  <c r="Y207" i="4"/>
  <c r="U208" i="4"/>
  <c r="V208" i="4"/>
  <c r="W208" i="4"/>
  <c r="X208" i="4"/>
  <c r="Y208" i="4"/>
  <c r="U209" i="4"/>
  <c r="V209" i="4"/>
  <c r="W209" i="4"/>
  <c r="X209" i="4"/>
  <c r="Y209" i="4"/>
  <c r="U210" i="4"/>
  <c r="V210" i="4"/>
  <c r="W210" i="4"/>
  <c r="X210" i="4"/>
  <c r="Y210" i="4"/>
  <c r="U211" i="4"/>
  <c r="V211" i="4"/>
  <c r="W211" i="4"/>
  <c r="X211" i="4"/>
  <c r="Y211" i="4"/>
  <c r="U212" i="4"/>
  <c r="V212" i="4"/>
  <c r="W212" i="4"/>
  <c r="X212" i="4"/>
  <c r="Y212" i="4"/>
  <c r="U213" i="4"/>
  <c r="V213" i="4"/>
  <c r="W213" i="4"/>
  <c r="X213" i="4"/>
  <c r="Y213" i="4"/>
  <c r="U214" i="4"/>
  <c r="V214" i="4"/>
  <c r="W214" i="4"/>
  <c r="X214" i="4"/>
  <c r="Y214" i="4"/>
  <c r="U215" i="4"/>
  <c r="V215" i="4"/>
  <c r="W215" i="4"/>
  <c r="X215" i="4"/>
  <c r="Y215" i="4"/>
  <c r="U216" i="4"/>
  <c r="V216" i="4"/>
  <c r="W216" i="4"/>
  <c r="X216" i="4"/>
  <c r="Y216" i="4"/>
  <c r="U217" i="4"/>
  <c r="V217" i="4"/>
  <c r="W217" i="4"/>
  <c r="X217" i="4"/>
  <c r="Y217" i="4"/>
  <c r="U218" i="4"/>
  <c r="V218" i="4"/>
  <c r="W218" i="4"/>
  <c r="X218" i="4"/>
  <c r="Y218" i="4"/>
  <c r="U219" i="4"/>
  <c r="V219" i="4"/>
  <c r="W219" i="4"/>
  <c r="X219" i="4"/>
  <c r="Y219" i="4"/>
  <c r="U220" i="4"/>
  <c r="V220" i="4"/>
  <c r="W220" i="4"/>
  <c r="X220" i="4"/>
  <c r="Y220" i="4"/>
  <c r="U221" i="4"/>
  <c r="V221" i="4"/>
  <c r="W221" i="4"/>
  <c r="X221" i="4"/>
  <c r="Y221" i="4"/>
  <c r="U222" i="4"/>
  <c r="V222" i="4"/>
  <c r="W222" i="4"/>
  <c r="X222" i="4"/>
  <c r="Y222" i="4"/>
  <c r="U223" i="4"/>
  <c r="V223" i="4"/>
  <c r="W223" i="4"/>
  <c r="X223" i="4"/>
  <c r="Y223" i="4"/>
  <c r="U224" i="4"/>
  <c r="V224" i="4"/>
  <c r="W224" i="4"/>
  <c r="X224" i="4"/>
  <c r="Y224" i="4"/>
  <c r="U225" i="4"/>
  <c r="V225" i="4"/>
  <c r="W225" i="4"/>
  <c r="X225" i="4"/>
  <c r="Y225" i="4"/>
  <c r="U226" i="4"/>
  <c r="V226" i="4"/>
  <c r="W226" i="4"/>
  <c r="X226" i="4"/>
  <c r="Y226" i="4"/>
  <c r="U227" i="4"/>
  <c r="V227" i="4"/>
  <c r="W227" i="4"/>
  <c r="X227" i="4"/>
  <c r="Y227" i="4"/>
  <c r="U228" i="4"/>
  <c r="V228" i="4"/>
  <c r="W228" i="4"/>
  <c r="X228" i="4"/>
  <c r="Y228" i="4"/>
  <c r="U229" i="4"/>
  <c r="V229" i="4"/>
  <c r="W229" i="4"/>
  <c r="X229" i="4"/>
  <c r="Y229" i="4"/>
  <c r="U230" i="4"/>
  <c r="V230" i="4"/>
  <c r="W230" i="4"/>
  <c r="X230" i="4"/>
  <c r="Y230" i="4"/>
  <c r="U231" i="4"/>
  <c r="V231" i="4"/>
  <c r="W231" i="4"/>
  <c r="X231" i="4"/>
  <c r="Y231" i="4"/>
  <c r="U232" i="4"/>
  <c r="V232" i="4"/>
  <c r="W232" i="4"/>
  <c r="X232" i="4"/>
  <c r="Y232" i="4"/>
  <c r="U233" i="4"/>
  <c r="V233" i="4"/>
  <c r="W233" i="4"/>
  <c r="X233" i="4"/>
  <c r="Y233" i="4"/>
  <c r="U234" i="4"/>
  <c r="V234" i="4"/>
  <c r="W234" i="4"/>
  <c r="X234" i="4"/>
  <c r="Y234" i="4"/>
  <c r="U235" i="4"/>
  <c r="V235" i="4"/>
  <c r="W235" i="4"/>
  <c r="X235" i="4"/>
  <c r="Y235" i="4"/>
  <c r="U236" i="4"/>
  <c r="V236" i="4"/>
  <c r="W236" i="4"/>
  <c r="X236" i="4"/>
  <c r="Y236" i="4"/>
  <c r="U237" i="4"/>
  <c r="V237" i="4"/>
  <c r="W237" i="4"/>
  <c r="X237" i="4"/>
  <c r="Y237" i="4"/>
  <c r="U238" i="4"/>
  <c r="V238" i="4"/>
  <c r="W238" i="4"/>
  <c r="X238" i="4"/>
  <c r="Y238" i="4"/>
  <c r="U239" i="4"/>
  <c r="V239" i="4"/>
  <c r="W239" i="4"/>
  <c r="X239" i="4"/>
  <c r="Y239" i="4"/>
  <c r="U240" i="4"/>
  <c r="V240" i="4"/>
  <c r="W240" i="4"/>
  <c r="X240" i="4"/>
  <c r="Y240" i="4"/>
  <c r="U241" i="4"/>
  <c r="V241" i="4"/>
  <c r="W241" i="4"/>
  <c r="X241" i="4"/>
  <c r="Y241" i="4"/>
  <c r="U242" i="4"/>
  <c r="V242" i="4"/>
  <c r="W242" i="4"/>
  <c r="X242" i="4"/>
  <c r="Y242" i="4"/>
  <c r="U243" i="4"/>
  <c r="V243" i="4"/>
  <c r="W243" i="4"/>
  <c r="X243" i="4"/>
  <c r="Y243" i="4"/>
  <c r="Y164" i="4"/>
  <c r="X164" i="4"/>
  <c r="W164" i="4"/>
  <c r="V164" i="4"/>
  <c r="U164" i="4"/>
  <c r="U98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03" i="4"/>
  <c r="A202" i="4"/>
  <c r="A201" i="4"/>
  <c r="A200" i="4"/>
  <c r="A199" i="4"/>
  <c r="A163" i="4"/>
  <c r="A162" i="4"/>
  <c r="A161" i="4"/>
  <c r="A160" i="4"/>
  <c r="Y149" i="4"/>
  <c r="X149" i="4"/>
  <c r="W149" i="4"/>
  <c r="U149" i="4"/>
  <c r="A149" i="4"/>
  <c r="Y148" i="4"/>
  <c r="X148" i="4"/>
  <c r="W148" i="4"/>
  <c r="U148" i="4"/>
  <c r="A148" i="4"/>
  <c r="Y147" i="4"/>
  <c r="X147" i="4"/>
  <c r="W147" i="4"/>
  <c r="U147" i="4"/>
  <c r="A147" i="4"/>
  <c r="Y146" i="4"/>
  <c r="X146" i="4"/>
  <c r="W146" i="4"/>
  <c r="U146" i="4"/>
  <c r="A146" i="4"/>
  <c r="Y145" i="4"/>
  <c r="X145" i="4"/>
  <c r="W145" i="4"/>
  <c r="U145" i="4"/>
  <c r="A145" i="4"/>
  <c r="Y144" i="4"/>
  <c r="X144" i="4"/>
  <c r="W144" i="4"/>
  <c r="U144" i="4"/>
  <c r="A144" i="4"/>
  <c r="Y143" i="4"/>
  <c r="X143" i="4"/>
  <c r="W143" i="4"/>
  <c r="U143" i="4"/>
  <c r="A143" i="4"/>
  <c r="Y142" i="4"/>
  <c r="X142" i="4"/>
  <c r="W142" i="4"/>
  <c r="U142" i="4"/>
  <c r="A142" i="4"/>
  <c r="Y141" i="4"/>
  <c r="X141" i="4"/>
  <c r="W141" i="4"/>
  <c r="U141" i="4"/>
  <c r="A141" i="4"/>
  <c r="Y140" i="4"/>
  <c r="X140" i="4"/>
  <c r="W140" i="4"/>
  <c r="U140" i="4"/>
  <c r="A140" i="4"/>
  <c r="Y139" i="4"/>
  <c r="X139" i="4"/>
  <c r="W139" i="4"/>
  <c r="U139" i="4"/>
  <c r="A139" i="4"/>
  <c r="Y138" i="4"/>
  <c r="X138" i="4"/>
  <c r="W138" i="4"/>
  <c r="U138" i="4"/>
  <c r="A138" i="4"/>
  <c r="Y137" i="4"/>
  <c r="X137" i="4"/>
  <c r="W137" i="4"/>
  <c r="U137" i="4"/>
  <c r="A137" i="4"/>
  <c r="Y136" i="4"/>
  <c r="X136" i="4"/>
  <c r="W136" i="4"/>
  <c r="U136" i="4"/>
  <c r="A136" i="4"/>
  <c r="Y135" i="4"/>
  <c r="X135" i="4"/>
  <c r="W135" i="4"/>
  <c r="U135" i="4"/>
  <c r="A135" i="4"/>
  <c r="Y134" i="4"/>
  <c r="X134" i="4"/>
  <c r="W134" i="4"/>
  <c r="U134" i="4"/>
  <c r="A134" i="4"/>
  <c r="Y133" i="4"/>
  <c r="X133" i="4"/>
  <c r="W133" i="4"/>
  <c r="U133" i="4"/>
  <c r="A133" i="4"/>
  <c r="Y132" i="4"/>
  <c r="X132" i="4"/>
  <c r="W132" i="4"/>
  <c r="U132" i="4"/>
  <c r="A132" i="4"/>
  <c r="Y131" i="4"/>
  <c r="X131" i="4"/>
  <c r="W131" i="4"/>
  <c r="U131" i="4"/>
  <c r="A131" i="4"/>
  <c r="Y130" i="4"/>
  <c r="X130" i="4"/>
  <c r="W130" i="4"/>
  <c r="U130" i="4"/>
  <c r="A130" i="4"/>
  <c r="A129" i="4"/>
  <c r="A128" i="4"/>
  <c r="A127" i="4"/>
  <c r="A126" i="4"/>
  <c r="Y117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Y98" i="4"/>
  <c r="X98" i="4"/>
  <c r="W98" i="4"/>
  <c r="A98" i="4"/>
  <c r="A112" i="4"/>
  <c r="A113" i="4"/>
  <c r="A114" i="4"/>
  <c r="A115" i="4"/>
  <c r="A116" i="4"/>
  <c r="A117" i="4"/>
  <c r="A105" i="4"/>
  <c r="A106" i="4"/>
  <c r="A107" i="4"/>
  <c r="A102" i="4"/>
  <c r="A103" i="4"/>
  <c r="A104" i="4"/>
  <c r="A94" i="4"/>
  <c r="A95" i="4"/>
  <c r="A96" i="4"/>
  <c r="A97" i="4"/>
  <c r="A20" i="4" l="1"/>
  <c r="A66" i="6" l="1"/>
  <c r="A67" i="6"/>
  <c r="A63" i="6"/>
  <c r="A64" i="6"/>
  <c r="A61" i="6"/>
  <c r="A60" i="6"/>
  <c r="A58" i="6"/>
  <c r="A57" i="6"/>
  <c r="A55" i="6"/>
  <c r="A54" i="6"/>
  <c r="A52" i="6"/>
  <c r="A51" i="6"/>
  <c r="A49" i="6"/>
  <c r="A48" i="6"/>
  <c r="A47" i="6"/>
  <c r="A46" i="6"/>
  <c r="A43" i="6"/>
  <c r="A44" i="6"/>
  <c r="A53" i="6"/>
  <c r="A56" i="6"/>
  <c r="A59" i="6"/>
  <c r="A62" i="6"/>
  <c r="A65" i="6"/>
  <c r="A68" i="6"/>
  <c r="A69" i="6"/>
  <c r="A70" i="6"/>
  <c r="A71" i="6"/>
  <c r="A72" i="6"/>
  <c r="A73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5" i="6"/>
  <c r="A50" i="6"/>
  <c r="A4" i="6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52" i="4"/>
  <c r="A51" i="4"/>
  <c r="A50" i="4"/>
  <c r="A339" i="4"/>
  <c r="A340" i="4"/>
  <c r="A341" i="4"/>
  <c r="A342" i="4"/>
  <c r="A343" i="4"/>
  <c r="A344" i="4"/>
  <c r="A347" i="4"/>
  <c r="A190" i="4"/>
  <c r="A191" i="4"/>
  <c r="A192" i="4"/>
  <c r="A193" i="4"/>
  <c r="A194" i="4"/>
  <c r="A195" i="4"/>
  <c r="A196" i="4"/>
  <c r="A197" i="4"/>
  <c r="A198" i="4"/>
  <c r="A204" i="4"/>
  <c r="A205" i="4"/>
  <c r="A206" i="4"/>
  <c r="A207" i="4"/>
  <c r="A208" i="4"/>
  <c r="A209" i="4"/>
  <c r="A210" i="4"/>
  <c r="A211" i="4"/>
  <c r="A212" i="4"/>
  <c r="A213" i="4"/>
  <c r="A183" i="4"/>
  <c r="A164" i="4"/>
  <c r="A165" i="4"/>
  <c r="A166" i="4"/>
  <c r="A167" i="4"/>
  <c r="A168" i="4"/>
  <c r="A169" i="4"/>
  <c r="A170" i="4"/>
  <c r="A171" i="4"/>
  <c r="A172" i="4"/>
  <c r="A173" i="4"/>
  <c r="A184" i="4"/>
  <c r="A185" i="4"/>
  <c r="A186" i="4"/>
  <c r="A187" i="4"/>
  <c r="A188" i="4"/>
  <c r="A189" i="4"/>
  <c r="A150" i="4"/>
  <c r="A151" i="4"/>
  <c r="A152" i="4"/>
  <c r="A153" i="4"/>
  <c r="A154" i="4"/>
  <c r="A155" i="4"/>
  <c r="A156" i="4"/>
  <c r="A157" i="4"/>
  <c r="A158" i="4"/>
  <c r="A159" i="4"/>
  <c r="A174" i="4"/>
  <c r="A175" i="4"/>
  <c r="A176" i="4"/>
  <c r="A177" i="4"/>
  <c r="A178" i="4"/>
  <c r="A179" i="4"/>
  <c r="A180" i="4"/>
  <c r="A181" i="4"/>
  <c r="A182" i="4"/>
  <c r="A90" i="4"/>
  <c r="A91" i="4"/>
  <c r="A92" i="4"/>
  <c r="A93" i="4"/>
  <c r="A100" i="4"/>
  <c r="A108" i="4"/>
  <c r="A110" i="4"/>
  <c r="A99" i="4"/>
  <c r="A101" i="4"/>
  <c r="A109" i="4"/>
  <c r="A111" i="4"/>
  <c r="A118" i="4"/>
  <c r="A119" i="4"/>
  <c r="A120" i="4"/>
  <c r="A121" i="4"/>
  <c r="A122" i="4"/>
  <c r="A123" i="4"/>
  <c r="A124" i="4"/>
  <c r="A125" i="4"/>
  <c r="A39" i="4"/>
  <c r="A40" i="4"/>
  <c r="A41" i="4"/>
  <c r="A42" i="4"/>
  <c r="A43" i="4"/>
  <c r="A44" i="4"/>
  <c r="A45" i="4"/>
  <c r="A46" i="4"/>
  <c r="A47" i="4"/>
  <c r="A48" i="4"/>
  <c r="A49" i="4"/>
  <c r="A53" i="4"/>
  <c r="A54" i="4"/>
  <c r="A86" i="4"/>
  <c r="A87" i="4"/>
  <c r="A88" i="4"/>
  <c r="A89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4" i="4"/>
</calcChain>
</file>

<file path=xl/sharedStrings.xml><?xml version="1.0" encoding="utf-8"?>
<sst xmlns="http://schemas.openxmlformats.org/spreadsheetml/2006/main" count="3340" uniqueCount="536">
  <si>
    <t>WS-C2960X-48FPD-L</t>
  </si>
  <si>
    <t>WS-C2960X-48LPD-L</t>
  </si>
  <si>
    <t>WS-C2960X-24PD-L</t>
  </si>
  <si>
    <t>WS-C2960X-48TD-L</t>
  </si>
  <si>
    <t>WS-C2960X-24TD-L</t>
  </si>
  <si>
    <t>WS-C2960X-48FPS-L</t>
  </si>
  <si>
    <t>WS-C2960X-48LPS-L</t>
  </si>
  <si>
    <t>WS-C2960X-24PS-L</t>
  </si>
  <si>
    <t>WS-C2960X-48TS-L</t>
  </si>
  <si>
    <t>WS-C2960X-24TS-L</t>
  </si>
  <si>
    <t>WS-C2960X-24PSQ-L</t>
  </si>
  <si>
    <t>WS-C2960X-48TS-LL</t>
  </si>
  <si>
    <t>WS-C2960X-24TS-LL</t>
  </si>
  <si>
    <t>WS-C2960CX-8PC-L</t>
  </si>
  <si>
    <t>WS-C2960CX-8TC-L</t>
  </si>
  <si>
    <t>WS-C2960XR-48FPD-I</t>
  </si>
  <si>
    <t>WS-C2960XR-24PD-I</t>
  </si>
  <si>
    <t>WS-C2960XR-48TD-I</t>
  </si>
  <si>
    <t>WS-C2960XR-24TD-I</t>
  </si>
  <si>
    <t>WS-C2960XR-48FPS-I</t>
  </si>
  <si>
    <t>WS-C2960XR-48LPS-I</t>
  </si>
  <si>
    <t>WS-C2960XR-24PS-I</t>
  </si>
  <si>
    <t>WS-C2960XR-48TS-I</t>
  </si>
  <si>
    <t>WS-C2960XR-24TS-I</t>
  </si>
  <si>
    <t>WS-C3650-24TS</t>
  </si>
  <si>
    <t>WS-C3650-48TS</t>
  </si>
  <si>
    <t>WS-C3650-24PS</t>
  </si>
  <si>
    <t>WS-C3650-48PS</t>
  </si>
  <si>
    <t>WS-C3650-48FS</t>
  </si>
  <si>
    <t>WS-C3650-24TD</t>
  </si>
  <si>
    <t>WS-C3650-48TD</t>
  </si>
  <si>
    <t>WS-C3650-24PD</t>
  </si>
  <si>
    <t>WS-C3650-24PDM</t>
  </si>
  <si>
    <t>WS-C3650-48PD</t>
  </si>
  <si>
    <t>WS-C3650-48FD</t>
  </si>
  <si>
    <t>WS-C3650-48TQ</t>
  </si>
  <si>
    <t>WS-C3650-48PQ</t>
  </si>
  <si>
    <t>WS-C3650-48FQM</t>
  </si>
  <si>
    <t>WS-C3650-48FQ</t>
  </si>
  <si>
    <t>WS-C3650-8X24UQ</t>
  </si>
  <si>
    <t>WS-C3650-12X48UQ</t>
  </si>
  <si>
    <t>WS-C3650-12X48UR</t>
  </si>
  <si>
    <t>WS-C3650-12X48UZ</t>
  </si>
  <si>
    <t>WS-C3850-24T</t>
  </si>
  <si>
    <t>WS-C3850-48T</t>
  </si>
  <si>
    <t>WS-C3850-24P</t>
  </si>
  <si>
    <t>WS-C3850-48P</t>
  </si>
  <si>
    <t>WS-C3850-48F</t>
  </si>
  <si>
    <t>WS-C3850-12S</t>
  </si>
  <si>
    <t>WS-C3850-24S</t>
  </si>
  <si>
    <t>WS-C3850-24U</t>
  </si>
  <si>
    <t>WS-C3850-48U</t>
  </si>
  <si>
    <t>WS-C3850-24XU</t>
  </si>
  <si>
    <t>WS-C3850-12X48U</t>
  </si>
  <si>
    <t>WS-C3850-12XS</t>
  </si>
  <si>
    <t>WS-C3850-24XS</t>
  </si>
  <si>
    <t>WS-C3850-48XS</t>
  </si>
  <si>
    <t>C9200L-24T-4G-E</t>
  </si>
  <si>
    <t>C9200L-24P-4G-E</t>
  </si>
  <si>
    <t>C9200L-48T-4G-E</t>
  </si>
  <si>
    <t>C9200L-48P-4G-E</t>
  </si>
  <si>
    <t>C9200L-24T-4X-E</t>
  </si>
  <si>
    <t>C9200L-24P-4X-E</t>
  </si>
  <si>
    <t>C9200L-48T-4X-E</t>
  </si>
  <si>
    <t>C9200L-48P-4X-E</t>
  </si>
  <si>
    <t>C9200-24T-E</t>
  </si>
  <si>
    <t>C9200-24P-E</t>
  </si>
  <si>
    <t>C9200-48T-E</t>
  </si>
  <si>
    <t>C9200-48P-E</t>
  </si>
  <si>
    <t>C9200L-24T-4G-A</t>
  </si>
  <si>
    <t>C9200L-24P-4G-A</t>
  </si>
  <si>
    <t>C9200L-48T-4G-A</t>
  </si>
  <si>
    <t>C9200L-48P-4G-A</t>
  </si>
  <si>
    <t>C9200L-24T-4X-A</t>
  </si>
  <si>
    <t>C9200L-24P-4X-A</t>
  </si>
  <si>
    <t>C9200L-48T-4X-A</t>
  </si>
  <si>
    <t>C9200L-48P-4X-A</t>
  </si>
  <si>
    <t>C9200-24T-A</t>
  </si>
  <si>
    <t>C9200-24P-A</t>
  </si>
  <si>
    <t>C9200-48T-A</t>
  </si>
  <si>
    <t>C9200-48P-A</t>
  </si>
  <si>
    <t>C9300L-24T-4G-E</t>
  </si>
  <si>
    <t>C9300L-24T-4X-E</t>
  </si>
  <si>
    <t>C9300L-48T-4G-E</t>
  </si>
  <si>
    <t>C9300L-48T-4X-E</t>
  </si>
  <si>
    <t>C9300L-24P-4G-E</t>
  </si>
  <si>
    <t>C9300L-24P-4X-E</t>
  </si>
  <si>
    <t>C9300L-48P-4G-E</t>
  </si>
  <si>
    <t>C9300L-48P-4X-E</t>
  </si>
  <si>
    <t>C9300-24P-E</t>
  </si>
  <si>
    <t>C9300-48T-E</t>
  </si>
  <si>
    <t>C9300-24U-E</t>
  </si>
  <si>
    <t>C9300-48U-E</t>
  </si>
  <si>
    <t>C9300-24UX-E</t>
  </si>
  <si>
    <t>C9300-48UN-E</t>
  </si>
  <si>
    <t>C9300-48UXM-E</t>
  </si>
  <si>
    <t>C9300L-24T-4G-A</t>
  </si>
  <si>
    <t>C9300L-24T-4X-A</t>
  </si>
  <si>
    <t>C9300L-48T-4G-A</t>
  </si>
  <si>
    <t>C9300L-48T-4X-A</t>
  </si>
  <si>
    <t>C9300L-24P-4G-A</t>
  </si>
  <si>
    <t>C9300L-24P-4X-A</t>
  </si>
  <si>
    <t>C9300L-48P-4G-A</t>
  </si>
  <si>
    <t>C9300L-48P-4X-A</t>
  </si>
  <si>
    <t>C9300-48P-E</t>
  </si>
  <si>
    <t>C9300-24T-E</t>
  </si>
  <si>
    <t>C9300-24P-A</t>
  </si>
  <si>
    <t>C9300-24T-A</t>
  </si>
  <si>
    <t>C9300-24U-A</t>
  </si>
  <si>
    <t>C9300-24UX-A</t>
  </si>
  <si>
    <t>C9300-48P-A</t>
  </si>
  <si>
    <t>C9300-48T-A</t>
  </si>
  <si>
    <t>C9300-48U-A</t>
  </si>
  <si>
    <t>C9300-48UN-A</t>
  </si>
  <si>
    <t>C9300-48UXM-A</t>
  </si>
  <si>
    <t>C9500-32C-A</t>
  </si>
  <si>
    <t>C9500-32QC-A</t>
  </si>
  <si>
    <t>C9500-48Y4C-A</t>
  </si>
  <si>
    <t>C9500-24Y4C-A</t>
  </si>
  <si>
    <t>C9500-24Q-A</t>
  </si>
  <si>
    <t>C9500-12Q-A</t>
  </si>
  <si>
    <t>C9500-40X-A</t>
  </si>
  <si>
    <t>C9500-16X-A</t>
  </si>
  <si>
    <t>PK</t>
  </si>
  <si>
    <t>Model</t>
  </si>
  <si>
    <t>Platform</t>
  </si>
  <si>
    <t>Network Module</t>
  </si>
  <si>
    <t>Fixed/Modular</t>
  </si>
  <si>
    <t>Fixed</t>
  </si>
  <si>
    <t>Modular</t>
  </si>
  <si>
    <t>C2960</t>
  </si>
  <si>
    <t>C3650</t>
  </si>
  <si>
    <t>C3850</t>
  </si>
  <si>
    <t>C9200</t>
  </si>
  <si>
    <t>C9300</t>
  </si>
  <si>
    <t>C9500</t>
  </si>
  <si>
    <t>Description</t>
  </si>
  <si>
    <t>C9300-NM-4G</t>
  </si>
  <si>
    <t>C9300-NM-4M</t>
  </si>
  <si>
    <t>C9300-NM-8X</t>
  </si>
  <si>
    <t>C9300-NM-2Q</t>
  </si>
  <si>
    <t>C9300-NM-2Y</t>
  </si>
  <si>
    <t>Downlink</t>
  </si>
  <si>
    <t>Uplink</t>
  </si>
  <si>
    <t>WS-C2960XR-48TS-L</t>
  </si>
  <si>
    <t>modular</t>
  </si>
  <si>
    <t>C9200-NM-4G</t>
  </si>
  <si>
    <t>C9200-NM-4X</t>
  </si>
  <si>
    <t>1GE</t>
  </si>
  <si>
    <t>1GE-PoE</t>
  </si>
  <si>
    <t>1GE-PoE+</t>
  </si>
  <si>
    <t>1GE-UPoE</t>
  </si>
  <si>
    <t>1GE-SFP</t>
  </si>
  <si>
    <t>mGig-PoE+</t>
  </si>
  <si>
    <t>mGig-UPoE</t>
  </si>
  <si>
    <t>10GE</t>
  </si>
  <si>
    <t>C9300L-48PF-4G-A</t>
  </si>
  <si>
    <t>C9300L-48PF-4X-A</t>
  </si>
  <si>
    <t>C9300L-48PF-4G-E</t>
  </si>
  <si>
    <t>C9300L-48PF-4X-E</t>
  </si>
  <si>
    <t>10GE-SFP+</t>
  </si>
  <si>
    <t>25GE-SPF28</t>
  </si>
  <si>
    <t>mGig</t>
  </si>
  <si>
    <t>25GE-SFP28</t>
  </si>
  <si>
    <t>40GE-QSFP+</t>
  </si>
  <si>
    <t>C3850-NM-4-1G</t>
  </si>
  <si>
    <t>C3850-NM-2-10G</t>
  </si>
  <si>
    <t>C3850-NM-4-10G</t>
  </si>
  <si>
    <t>C3850-NM-8-10G</t>
  </si>
  <si>
    <t>C3850-NM-2-40G</t>
  </si>
  <si>
    <t>PoE Power</t>
  </si>
  <si>
    <t>Switching Capacity</t>
  </si>
  <si>
    <t>MAC Table Size</t>
  </si>
  <si>
    <t>VLAN</t>
  </si>
  <si>
    <t>Product</t>
  </si>
  <si>
    <t>Specifications</t>
  </si>
  <si>
    <t xml:space="preserve">Meraki </t>
  </si>
  <si>
    <t>MS210-24-HW</t>
  </si>
  <si>
    <t>MS210-24P-HW</t>
  </si>
  <si>
    <t>MS210-48-HW</t>
  </si>
  <si>
    <t>MS210-48FP-HW</t>
  </si>
  <si>
    <t>MS225-24-HW</t>
  </si>
  <si>
    <t>MS225-24P-HW</t>
  </si>
  <si>
    <t>MS225-48-HW</t>
  </si>
  <si>
    <t>MS225-48FP-HW</t>
  </si>
  <si>
    <t>MS250-24-HW</t>
  </si>
  <si>
    <t>MS250-24P-HW</t>
  </si>
  <si>
    <t>MS250-48-HW</t>
  </si>
  <si>
    <t>MS250-48FP-HW</t>
  </si>
  <si>
    <t>MS210-48LP-HW</t>
  </si>
  <si>
    <t>MS225-48LP-HW</t>
  </si>
  <si>
    <t>MS350-24X-HW</t>
  </si>
  <si>
    <t>MS355-24X-HW</t>
  </si>
  <si>
    <t>MS355-48X-HW</t>
  </si>
  <si>
    <t>MS355-24X2-HW</t>
  </si>
  <si>
    <t>MS355-48X2-HW</t>
  </si>
  <si>
    <t>MS250-48LP-HW</t>
  </si>
  <si>
    <t>MS450</t>
  </si>
  <si>
    <t>WS-C3850-24T-C3850-NM-4-1G</t>
  </si>
  <si>
    <t>WS-C3850-24T-C3850-NM-2-10G</t>
  </si>
  <si>
    <t>WS-C3850-48T-C3850-NM-4-1G</t>
  </si>
  <si>
    <t>WS-C3850-48T-C3850-NM-2-10G</t>
  </si>
  <si>
    <t>WS-C3850-48T-C3850-NM-4-10G</t>
  </si>
  <si>
    <t>WS-C3850-24P-C3850-NM-4-1G</t>
  </si>
  <si>
    <t>WS-C3850-24P-C3850-NM-2-10G</t>
  </si>
  <si>
    <t>WS-C3850-48P-C3850-NM-4-1G</t>
  </si>
  <si>
    <t>WS-C3850-48P-C3850-NM-2-10G</t>
  </si>
  <si>
    <t>WS-C3850-48P-C3850-NM-4-10G</t>
  </si>
  <si>
    <t>WS-C3850-48F-C3850-NM-4-1G</t>
  </si>
  <si>
    <t>WS-C3850-48F-C3850-NM-2-10G</t>
  </si>
  <si>
    <t>WS-C3850-48F-C3850-NM-4-10G</t>
  </si>
  <si>
    <t>WS-C3850-12S-C3850-NM-4-1G</t>
  </si>
  <si>
    <t>WS-C3850-12S-C3850-NM-2-10G</t>
  </si>
  <si>
    <t>WS-C3850-24S-C3850-NM-4-1G</t>
  </si>
  <si>
    <t>WS-C3850-24S-C3850-NM-2-10G</t>
  </si>
  <si>
    <t>WS-C3850-24U-C3850-NM-4-1G</t>
  </si>
  <si>
    <t>WS-C3850-24U-C3850-NM-2-10G</t>
  </si>
  <si>
    <t>WS-C3850-12XS-C3850-NM-4-1G</t>
  </si>
  <si>
    <t>WS-C3850-24XS-C3850-NM-4-1G</t>
  </si>
  <si>
    <t>WS-C3850-24XS-C3850-NM-8-10G</t>
  </si>
  <si>
    <t>WS-C3850-24XS-C3850-NM-2-40G</t>
  </si>
  <si>
    <t>C9200-24T-E-C9200-NM-4G</t>
  </si>
  <si>
    <t>C9200-24P-E-C9200-NM-4G</t>
  </si>
  <si>
    <t>C9200-48T-E-C9200-NM-4G</t>
  </si>
  <si>
    <t>C9200-48P-E-C9200-NM-4G</t>
  </si>
  <si>
    <t>C9200-24T-E-C9200-NM-4X</t>
  </si>
  <si>
    <t>C9200-24P-E-C9200-NM-4X</t>
  </si>
  <si>
    <t>C9200-48T-E-C9200-NM-4X</t>
  </si>
  <si>
    <t>C9200-48P-E-C9200-NM-4X</t>
  </si>
  <si>
    <t>C9200-24T-A-C9200-NM-4G</t>
  </si>
  <si>
    <t>C9200-24P-A-C9200-NM-4G</t>
  </si>
  <si>
    <t>C9200-48T-A-C9200-NM-4G</t>
  </si>
  <si>
    <t>C9200-48P-A-C9200-NM-4G</t>
  </si>
  <si>
    <t>C9200-24T-A-C9200-NM-4X</t>
  </si>
  <si>
    <t>C9200-24P-A-C9200-NM-4X</t>
  </si>
  <si>
    <t>C9200-48T-A-C9200-NM-4X</t>
  </si>
  <si>
    <t>C9200-48P-A-C9200-NM-4X</t>
  </si>
  <si>
    <t>C9300-24P-E-C9300-NM-4G</t>
  </si>
  <si>
    <t>C9300-24P-E-C9300-NM-4M</t>
  </si>
  <si>
    <t>C9300-24P-E-C9300-NM-8X</t>
  </si>
  <si>
    <t>C9300-24P-E-C9300-NM-2Q</t>
  </si>
  <si>
    <t>C9300-48P-E-C9300-NM-4G</t>
  </si>
  <si>
    <t>C9300-48P-E-C9300-NM-4M</t>
  </si>
  <si>
    <t>C9300-48P-E-C9300-NM-8X</t>
  </si>
  <si>
    <t>C9300-48P-E-C9300-NM-2Q</t>
  </si>
  <si>
    <t>C9300-24T-E-C9300-NM-4G</t>
  </si>
  <si>
    <t>C9300-24T-E-C9300-NM-4M</t>
  </si>
  <si>
    <t>C9300-24T-E-C9300-NM-8X</t>
  </si>
  <si>
    <t>C9300-24T-E-C9300-NM-2Q</t>
  </si>
  <si>
    <t>C9300-48T-E-C9300-NM-4G</t>
  </si>
  <si>
    <t>C9300-48T-E-C9300-NM-4M</t>
  </si>
  <si>
    <t>C9300-48T-E-C9300-NM-8X</t>
  </si>
  <si>
    <t>C9300-48T-E-C9300-NM-2Q</t>
  </si>
  <si>
    <t>C9300-24U-E-C9300-NM-4G</t>
  </si>
  <si>
    <t>C9300-24U-E-C9300-NM-4M</t>
  </si>
  <si>
    <t>C9300-24U-E-C9300-NM-8X</t>
  </si>
  <si>
    <t>C9300-24U-E-C9300-NM-2Q</t>
  </si>
  <si>
    <t>C9300-48U-E-C9300-NM-4G</t>
  </si>
  <si>
    <t>C9300-48U-E-C9300-NM-4M</t>
  </si>
  <si>
    <t>C9300-48U-E-C9300-NM-8X</t>
  </si>
  <si>
    <t>C9300-48U-E-C9300-NM-2Q</t>
  </si>
  <si>
    <t>C9300-24UX-E-C9300-NM-4G</t>
  </si>
  <si>
    <t>C9300-24UX-E-C9300-NM-4M</t>
  </si>
  <si>
    <t>C9300-24UX-E-C9300-NM-8X</t>
  </si>
  <si>
    <t>C9300-24UX-E-C9300-NM-2Q</t>
  </si>
  <si>
    <t>C9300-48UN-E-C9300-NM-4G</t>
  </si>
  <si>
    <t>C9300-48UN-E-C9300-NM-4M</t>
  </si>
  <si>
    <t>C9300-48UN-E-C9300-NM-8X</t>
  </si>
  <si>
    <t>C9300-48UN-E-C9300-NM-2Q</t>
  </si>
  <si>
    <t>C9300-48UXM-E-C9300-NM-4G</t>
  </si>
  <si>
    <t>C9300-48UXM-E-C9300-NM-4M</t>
  </si>
  <si>
    <t>C9300-48UXM-E-C9300-NM-8X</t>
  </si>
  <si>
    <t>C9300-48UXM-E-C9300-NM-2Q</t>
  </si>
  <si>
    <t>C9300-24P-A-C9300-NM-4G</t>
  </si>
  <si>
    <t>C9300-24P-A-C9300-NM-4M</t>
  </si>
  <si>
    <t>C9300-24P-A-C9300-NM-8X</t>
  </si>
  <si>
    <t>C9300-24P-A-C9300-NM-2Q</t>
  </si>
  <si>
    <t>C9300-24T-A-C9300-NM-4G</t>
  </si>
  <si>
    <t>C9300-24T-A-C9300-NM-4M</t>
  </si>
  <si>
    <t>C9300-24T-A-C9300-NM-8X</t>
  </si>
  <si>
    <t>C9300-24T-A-C9300-NM-2Q</t>
  </si>
  <si>
    <t>C9300-24U-A-C9300-NM-4G</t>
  </si>
  <si>
    <t>C9300-24U-A-C9300-NM-4M</t>
  </si>
  <si>
    <t>C9300-24U-A-C9300-NM-8X</t>
  </si>
  <si>
    <t>C9300-24U-A-C9300-NM-2Q</t>
  </si>
  <si>
    <t>C9300-24UX-A-C9300-NM-4G</t>
  </si>
  <si>
    <t>C9300-24UX-A-C9300-NM-4M</t>
  </si>
  <si>
    <t>C9300-24UX-A-C9300-NM-8X</t>
  </si>
  <si>
    <t>C9300-24UX-A-C9300-NM-2Q</t>
  </si>
  <si>
    <t>C9300-48P-A-C9300-NM-4G</t>
  </si>
  <si>
    <t>C9300-48P-A-C9300-NM-4M</t>
  </si>
  <si>
    <t>C9300-48P-A-C9300-NM-8X</t>
  </si>
  <si>
    <t>C9300-48P-A-C9300-NM-2Q</t>
  </si>
  <si>
    <t>C9300-48T-A-C9300-NM-4G</t>
  </si>
  <si>
    <t>C9300-48T-A-C9300-NM-4M</t>
  </si>
  <si>
    <t>C9300-48T-A-C9300-NM-8X</t>
  </si>
  <si>
    <t>C9300-48T-A-C9300-NM-2Q</t>
  </si>
  <si>
    <t>C9300-48U-A-C9300-NM-4G</t>
  </si>
  <si>
    <t>C9300-48U-A-C9300-NM-4M</t>
  </si>
  <si>
    <t>C9300-48U-A-C9300-NM-8X</t>
  </si>
  <si>
    <t>C9300-48U-A-C9300-NM-2Q</t>
  </si>
  <si>
    <t>C9300-48UN-A-C9300-NM-4G</t>
  </si>
  <si>
    <t>C9300-48UN-A-C9300-NM-4M</t>
  </si>
  <si>
    <t>C9300-48UN-A-C9300-NM-8X</t>
  </si>
  <si>
    <t>C9300-48UN-A-C9300-NM-2Q</t>
  </si>
  <si>
    <t>C9300-48UXM-A-C9300-NM-4G</t>
  </si>
  <si>
    <t>C9300-48UXM-A-C9300-NM-4M</t>
  </si>
  <si>
    <t>C9300-48UXM-A-C9300-NM-8X</t>
  </si>
  <si>
    <t>C9300-48UXM-A-C9300-NM-2Q</t>
  </si>
  <si>
    <t>MS225</t>
  </si>
  <si>
    <t>MS210</t>
  </si>
  <si>
    <t>MS120-8FP-HW</t>
  </si>
  <si>
    <t>MS120</t>
  </si>
  <si>
    <t>MS120-8-HW</t>
  </si>
  <si>
    <t>MS120-8LP-HW</t>
  </si>
  <si>
    <t>MS250</t>
  </si>
  <si>
    <t>MS350</t>
  </si>
  <si>
    <t>MS355</t>
  </si>
  <si>
    <t>MS350-24-HW</t>
  </si>
  <si>
    <t>MS350-48-HW</t>
  </si>
  <si>
    <t>MS350-24P-HW</t>
  </si>
  <si>
    <t>MS350-48LP-HW</t>
  </si>
  <si>
    <t>MS350-48FP-HW</t>
  </si>
  <si>
    <t>MS410</t>
  </si>
  <si>
    <t>MS410-16-HW</t>
  </si>
  <si>
    <t>MS410-32-HW</t>
  </si>
  <si>
    <t>MS425</t>
  </si>
  <si>
    <t>MS425-16-HW</t>
  </si>
  <si>
    <t>MS425-32-HW</t>
  </si>
  <si>
    <t>MS450-12-HW</t>
  </si>
  <si>
    <t>MS120-24-HW</t>
  </si>
  <si>
    <t>MS120-24P-HW</t>
  </si>
  <si>
    <t>MS120-48-HW</t>
  </si>
  <si>
    <t>MS120-48FP-HW</t>
  </si>
  <si>
    <t>MS120-48LP-HW</t>
  </si>
  <si>
    <t>MS125</t>
  </si>
  <si>
    <t>MS125-24-HW</t>
  </si>
  <si>
    <t>MS125-24P-HW</t>
  </si>
  <si>
    <t>MS125-48-HW</t>
  </si>
  <si>
    <t>MS125-48LP-HW</t>
  </si>
  <si>
    <t>MS125-48FP-HW</t>
  </si>
  <si>
    <t>MS390</t>
  </si>
  <si>
    <t>MS390-24-HW</t>
  </si>
  <si>
    <t>MS390-24P-HW</t>
  </si>
  <si>
    <t>MS390-24U-HW</t>
  </si>
  <si>
    <t>MS390-24UX-HW</t>
  </si>
  <si>
    <t>MS390-48-HW</t>
  </si>
  <si>
    <t>MS390-48P-HW</t>
  </si>
  <si>
    <t>MS390-48U-HW</t>
  </si>
  <si>
    <t>MS390-48UX-HW</t>
  </si>
  <si>
    <t>MS390-48UX2-HW</t>
  </si>
  <si>
    <t>Tier</t>
  </si>
  <si>
    <t>Access</t>
  </si>
  <si>
    <t>Aggregation</t>
  </si>
  <si>
    <t>MA-MOD-4X10G</t>
  </si>
  <si>
    <t>MA-MOD-8X10G</t>
  </si>
  <si>
    <t>MA-MOD-2X40G</t>
  </si>
  <si>
    <t>100GE-QSFP28</t>
  </si>
  <si>
    <t>Catalyst</t>
  </si>
  <si>
    <t>Version</t>
  </si>
  <si>
    <t>Date</t>
  </si>
  <si>
    <t>Editor</t>
  </si>
  <si>
    <t>Remark</t>
  </si>
  <si>
    <t>Catalyst_Meraki_Mapping_v1</t>
  </si>
  <si>
    <t>Mick T.</t>
  </si>
  <si>
    <t>Document Created</t>
  </si>
  <si>
    <t>Stackable</t>
  </si>
  <si>
    <t>Switch Table</t>
  </si>
  <si>
    <t>Field</t>
  </si>
  <si>
    <t>Primary Key</t>
  </si>
  <si>
    <t>Nullable</t>
  </si>
  <si>
    <t>Type</t>
  </si>
  <si>
    <t>id</t>
  </si>
  <si>
    <t>platform</t>
  </si>
  <si>
    <t>model</t>
  </si>
  <si>
    <t>network_module</t>
  </si>
  <si>
    <t>tier</t>
  </si>
  <si>
    <t>dl_ge</t>
  </si>
  <si>
    <t>dl_ge_poe</t>
  </si>
  <si>
    <t>2.5GE-UPoE</t>
  </si>
  <si>
    <t>dl_ge_upoe</t>
  </si>
  <si>
    <t>dl_ge_sfp</t>
  </si>
  <si>
    <t>dl_mgig_upoe</t>
  </si>
  <si>
    <t>dl_2ge_upoe</t>
  </si>
  <si>
    <t>dl_10ge</t>
  </si>
  <si>
    <t>dl_10ge_sfpp</t>
  </si>
  <si>
    <t>dl_25ge_sfp28</t>
  </si>
  <si>
    <t>dl_mgig_poep</t>
  </si>
  <si>
    <t>dl_ge_poep</t>
  </si>
  <si>
    <t>Y</t>
  </si>
  <si>
    <t>N</t>
  </si>
  <si>
    <t>ul_ge_sfp</t>
  </si>
  <si>
    <t>ul_mgig</t>
  </si>
  <si>
    <t>ul_10ge_sfpp</t>
  </si>
  <si>
    <t>ul_25ge_sfp28</t>
  </si>
  <si>
    <t>ul_40ge_qsfpp</t>
  </si>
  <si>
    <t>dl_40ge_qsfpp</t>
  </si>
  <si>
    <t>ul_100ge_qsfp28</t>
  </si>
  <si>
    <t>poe_power</t>
  </si>
  <si>
    <t>switching_capacity</t>
  </si>
  <si>
    <t>stackable</t>
  </si>
  <si>
    <t>mac_entry</t>
  </si>
  <si>
    <t>vlan</t>
  </si>
  <si>
    <t>varchar</t>
  </si>
  <si>
    <t>boolean</t>
  </si>
  <si>
    <t>integer</t>
  </si>
  <si>
    <t>catalyst</t>
  </si>
  <si>
    <t>meraki</t>
  </si>
  <si>
    <t>Foreign Key</t>
  </si>
  <si>
    <t>Catalyst_Meraki_Mapping_v2</t>
  </si>
  <si>
    <t>Added 'Database' sheet with insert script</t>
  </si>
  <si>
    <t>WS-C2960XR-48LPD-I</t>
  </si>
  <si>
    <t>Model platform</t>
  </si>
  <si>
    <t>SKU of the model</t>
  </si>
  <si>
    <t>Modular/Fixed</t>
  </si>
  <si>
    <t>Network module for modular switch</t>
  </si>
  <si>
    <t>Model + Network module</t>
  </si>
  <si>
    <t>Access/Distribution/Core</t>
  </si>
  <si>
    <t>1GE Copper Downlink</t>
  </si>
  <si>
    <t>1GE Copper PoE Downlink</t>
  </si>
  <si>
    <t>1GE Copper PoE+ Downlink</t>
  </si>
  <si>
    <t>1GE Copper UPoE Downlink</t>
  </si>
  <si>
    <t>1GE Fiber SFP Downlink</t>
  </si>
  <si>
    <t>2.5GE Copper UPoE Downlink</t>
  </si>
  <si>
    <t>mGig Copper PoE+ Downlink</t>
  </si>
  <si>
    <t>mGig Copper UPoE Downlink</t>
  </si>
  <si>
    <t>10GE Copper Downlink</t>
  </si>
  <si>
    <t>25GE Fiber SFP28 Downlink</t>
  </si>
  <si>
    <t>40GE Fiber QSFP+ Downlink</t>
  </si>
  <si>
    <t>1GE Fiber SFP Uplink</t>
  </si>
  <si>
    <t>mGig Copper Uplink</t>
  </si>
  <si>
    <t>10GE Fiber SFP+ Uplink</t>
  </si>
  <si>
    <t>10GE Fiber SFP+ Downlink</t>
  </si>
  <si>
    <t>25GE Fiber SFP28 Uplink</t>
  </si>
  <si>
    <t>40GE Fiber QSFP+ Uplink</t>
  </si>
  <si>
    <t>100GE Fiber QSFP28 Uplink</t>
  </si>
  <si>
    <t>Total PoE power output</t>
  </si>
  <si>
    <t>Switching capacity in Gbps</t>
  </si>
  <si>
    <t>Can stack or not</t>
  </si>
  <si>
    <t>Maximum MAC table entries</t>
  </si>
  <si>
    <t>Maximum VLAN</t>
  </si>
  <si>
    <t>Running number for uniqueness purpose</t>
  </si>
  <si>
    <t>Catalyst model (id)</t>
  </si>
  <si>
    <t>Meraki model (id)</t>
  </si>
  <si>
    <t>Mapping Table</t>
  </si>
  <si>
    <t>Catalyst_Meraki_Mapping_v3</t>
  </si>
  <si>
    <t>Added description for database field</t>
  </si>
  <si>
    <t>Access, Core and Distribution</t>
  </si>
  <si>
    <t>Distribution and Core</t>
  </si>
  <si>
    <t>48 ports of PoE / 24 ports of PoE+</t>
  </si>
  <si>
    <t>24 ports of PoE / 12 ports of PoE+</t>
  </si>
  <si>
    <t>7 ports of PoE / 3 ports of PoE+</t>
  </si>
  <si>
    <t>No data for 2960XR Lan Base - need to verify the data derived from naming convention</t>
  </si>
  <si>
    <t>Max VLAN: 255 (LAN BASE); 4094 (IP BASE)</t>
  </si>
  <si>
    <t>Uplink: 4 x 1G SFP or 4 x 10G SFP+; Max VLAN: 255 (LAN BASE); 4094 (IP BASE)</t>
  </si>
  <si>
    <t>Uplink: 8 x 1G SFP or 8 x 10G SFP+; Max VLAN: 255 (LAN BASE); 4094 (IP BASE)</t>
  </si>
  <si>
    <t>Extra PoE power with second PS</t>
  </si>
  <si>
    <t>Max VLAN: 255 (LAN BASE); 1000 (IP BASE)</t>
  </si>
  <si>
    <t>Extra PoE power with second PS. Max VLAN: 255 (LAN BASE); 1000 (IP BASE)</t>
  </si>
  <si>
    <t>Uplink: 2 x 1G copper + 2 x 1G SFP. All four uplink ports (two copper and two fiber) can be used simultaneously and also as downlinks.</t>
  </si>
  <si>
    <t>Downlink: 1/10G SFP+. Max VLAN: 255 (LAN BASE); 1000 (IP BASE)</t>
  </si>
  <si>
    <t>C9200-NM-2Y</t>
  </si>
  <si>
    <t>C9200-NM-2Q</t>
  </si>
  <si>
    <t>C9200L-24PXG-4X-E</t>
  </si>
  <si>
    <t>C9200L-48PXG-4X-E</t>
  </si>
  <si>
    <t>C9200L-24PXG-2Y-E</t>
  </si>
  <si>
    <t>C9200L-48PXG-2Y-E</t>
  </si>
  <si>
    <t>C9200L-24PXG-4X-A</t>
  </si>
  <si>
    <t>C9200L-48PXG-4X-A</t>
  </si>
  <si>
    <t>C9200L-24PXG-2Y-A</t>
  </si>
  <si>
    <t>C9200L-48PXG-2Y-A</t>
  </si>
  <si>
    <t>C9200-24PB-E</t>
  </si>
  <si>
    <t>C9200-24PXG-E</t>
  </si>
  <si>
    <t>C9200-48PB-E</t>
  </si>
  <si>
    <t>C9200-48PXG-E</t>
  </si>
  <si>
    <t>C9200-24PB-A</t>
  </si>
  <si>
    <t>C9200-24PXG-A</t>
  </si>
  <si>
    <t>C9200-48PB-A</t>
  </si>
  <si>
    <t>C9200-48PXG-A</t>
  </si>
  <si>
    <t>Enhanced VRF. Extra PoE power with second PS</t>
  </si>
  <si>
    <t>C9300-48UB-E</t>
  </si>
  <si>
    <t>C9300-24UB-E</t>
  </si>
  <si>
    <t>C9300-24UXB-E</t>
  </si>
  <si>
    <t>C9300-24H-E</t>
  </si>
  <si>
    <t>C9300-48H-E</t>
  </si>
  <si>
    <t>C9300-24S-E</t>
  </si>
  <si>
    <t>C9300-48S-E</t>
  </si>
  <si>
    <t>1GE-UPoE+</t>
  </si>
  <si>
    <t>C9300L-24UXG-4X-E</t>
  </si>
  <si>
    <t>C9300L-24UXG-2Q-E</t>
  </si>
  <si>
    <t>C9300L-48UXG-4X-E</t>
  </si>
  <si>
    <t>C9300L-48UXG-2Q-E</t>
  </si>
  <si>
    <t>C9300L-24UXG-4X-A</t>
  </si>
  <si>
    <t>C9300L-24UXG-2Q-A</t>
  </si>
  <si>
    <t>C9300L-48UXG-4X-A</t>
  </si>
  <si>
    <t>C9300L-48UXG-2Q-A</t>
  </si>
  <si>
    <t>C9300-24UB-A</t>
  </si>
  <si>
    <t>C9300-24UXB-A</t>
  </si>
  <si>
    <t>C9300-48UB-A</t>
  </si>
  <si>
    <t>C9300-24H-A</t>
  </si>
  <si>
    <t>C9300-48H-A</t>
  </si>
  <si>
    <t>C9300-24S-A</t>
  </si>
  <si>
    <t>C9300-48S-A</t>
  </si>
  <si>
    <t>32 x 40G or 32 x 100G. With breakout cable: 96 x 10G or 96 x 25G</t>
  </si>
  <si>
    <t>32 x 40G or 16 x 100G</t>
  </si>
  <si>
    <t>48 x 1G, 48 x 10G, 48 x 25G, 4 x 40G or 4 x 100G</t>
  </si>
  <si>
    <t>24 x 1G, 24 x 10G, 24 x 25G, 4 x 40G or 4 x 100G</t>
  </si>
  <si>
    <t>C9500-NM-8X</t>
  </si>
  <si>
    <t>C9500-NM-2Q</t>
  </si>
  <si>
    <t>With breakout cable: 96 x 10G</t>
  </si>
  <si>
    <t>With breakout cable: 48 x 10G</t>
  </si>
  <si>
    <t>Catalyst_Meraki_Mapping_v4</t>
  </si>
  <si>
    <t>Alvin L.</t>
  </si>
  <si>
    <t>Filled in data in 'Catalyst' sheet</t>
  </si>
  <si>
    <t>dl_ge_upoep</t>
  </si>
  <si>
    <t>dl_100ge_qsfp28</t>
  </si>
  <si>
    <t>100GE Fiber QSFP28 Downlink</t>
  </si>
  <si>
    <t>Catalyst_Meraki_Mapping_v5</t>
  </si>
  <si>
    <t>Update VB script and database info.</t>
  </si>
  <si>
    <t>Catalyst_Meraki_Mapping_V6</t>
  </si>
  <si>
    <t>Added 'User' sheet and edit script to hadle it</t>
  </si>
  <si>
    <t>Privilege</t>
  </si>
  <si>
    <t>ADMIN</t>
  </si>
  <si>
    <t>Users Table</t>
  </si>
  <si>
    <t>privilege</t>
  </si>
  <si>
    <t>Username</t>
  </si>
  <si>
    <t>User privilege</t>
  </si>
  <si>
    <t>User (PK)</t>
  </si>
  <si>
    <t>Catalyst_Meraki_Mapping_V7</t>
  </si>
  <si>
    <t>Jamie W.</t>
  </si>
  <si>
    <t>Fixed Meraki model naming issues and User database content</t>
  </si>
  <si>
    <t>Y2lzY29zcGFyazovL3VzL1BFT1BMRS82NGZlMTE5ZC0zNDIzLTQwOTYtYWVjZS1iYzc2Y2JiYzcyZjA</t>
  </si>
  <si>
    <t>File Path</t>
  </si>
  <si>
    <t>/Users/jamiwatt/import_script.txt</t>
  </si>
  <si>
    <t>Catalyst_Meraki_Mapping_V8</t>
  </si>
  <si>
    <t>Fixed save directory macro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</si>
</sst>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Fill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/>
    <xf numFmtId="0" fontId="2" fillId="0" borderId="11" xfId="0" applyFont="1" applyBorder="1"/>
    <xf numFmtId="0" fontId="2" fillId="0" borderId="1" xfId="0" applyFont="1" applyBorder="1"/>
    <xf numFmtId="0" fontId="2" fillId="0" borderId="1" xfId="0" applyFont="1" applyBorder="1" applyAlignment="1">
      <alignment horizontal="center" vertical="center"/>
    </xf>
    <xf numFmtId="0" fontId="0" fillId="7" borderId="1" xfId="0" applyFill="1" applyBorder="1"/>
    <xf numFmtId="0" fontId="1" fillId="9" borderId="1" xfId="0" applyFont="1" applyFill="1" applyBorder="1"/>
    <xf numFmtId="0" fontId="0" fillId="2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0" fontId="0" fillId="2" borderId="1" xfId="0" applyFill="1" applyBorder="1"/>
    <xf numFmtId="0" fontId="0" fillId="3" borderId="1" xfId="0" applyFont="1" applyFill="1" applyBorder="1"/>
    <xf numFmtId="0" fontId="1" fillId="6" borderId="1" xfId="0" applyFont="1" applyFill="1" applyBorder="1"/>
    <xf numFmtId="0" fontId="0" fillId="7" borderId="1" xfId="0" applyFont="1" applyFill="1" applyBorder="1"/>
    <xf numFmtId="0" fontId="0" fillId="3" borderId="1" xfId="0" applyFill="1" applyBorder="1"/>
    <xf numFmtId="0" fontId="0" fillId="8" borderId="1" xfId="0" applyFill="1" applyBorder="1"/>
    <xf numFmtId="0" fontId="0" fillId="16" borderId="1" xfId="0" applyFont="1" applyFill="1" applyBorder="1"/>
    <xf numFmtId="0" fontId="2" fillId="0" borderId="11" xfId="0" applyFont="1" applyBorder="1" applyAlignment="1">
      <alignment wrapText="1"/>
    </xf>
    <xf numFmtId="0" fontId="0" fillId="0" borderId="3" xfId="0" applyBorder="1" applyAlignment="1">
      <alignment horizontal="center" vertical="center"/>
    </xf>
    <xf numFmtId="0" fontId="0" fillId="0" borderId="1" xfId="0" applyFill="1" applyBorder="1" applyAlignment="1">
      <alignment horizontal="right"/>
    </xf>
    <xf numFmtId="0" fontId="0" fillId="0" borderId="5" xfId="0" applyFill="1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13" borderId="7" xfId="0" applyFont="1" applyFill="1" applyBorder="1" applyAlignment="1">
      <alignment horizontal="center"/>
    </xf>
    <xf numFmtId="0" fontId="4" fillId="13" borderId="8" xfId="0" applyFont="1" applyFill="1" applyBorder="1" applyAlignment="1">
      <alignment horizontal="center"/>
    </xf>
    <xf numFmtId="0" fontId="2" fillId="12" borderId="14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/>
    </xf>
    <xf numFmtId="0" fontId="2" fillId="14" borderId="10" xfId="0" applyFont="1" applyFill="1" applyBorder="1" applyAlignment="1">
      <alignment horizontal="center"/>
    </xf>
    <xf numFmtId="0" fontId="2" fillId="14" borderId="15" xfId="0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</cellXfs>
  <cellStyles count="1">
    <cellStyle name="Normal" xfId="0" builtinId="0"/>
  </cellStyles>
  <dxfs count="1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190500</xdr:rowOff>
        </xdr:from>
        <xdr:to>
          <xdr:col>11</xdr:col>
          <xdr:colOff>12700</xdr:colOff>
          <xdr:row>32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8420-68C0-164A-9694-EE2602A2BED5}">
  <sheetPr codeName="Sheet1"/>
  <dimension ref="A1:D33"/>
  <sheetViews>
    <sheetView tabSelected="1" workbookViewId="0">
      <selection activeCell="D14" sqref="D14"/>
    </sheetView>
  </sheetViews>
  <sheetFormatPr baseColWidth="10" defaultRowHeight="16" x14ac:dyDescent="0.2"/>
  <cols>
    <col min="1" max="1" width="29.5" customWidth="1"/>
    <col min="2" max="2" width="15.83203125" style="8" customWidth="1"/>
    <col min="3" max="3" width="13.1640625" customWidth="1"/>
    <col min="4" max="4" width="67.1640625" customWidth="1"/>
  </cols>
  <sheetData>
    <row r="1" spans="1:4" x14ac:dyDescent="0.2">
      <c r="A1" s="15" t="s">
        <v>359</v>
      </c>
      <c r="B1" s="14" t="s">
        <v>360</v>
      </c>
      <c r="C1" s="21" t="s">
        <v>361</v>
      </c>
      <c r="D1" s="20" t="s">
        <v>362</v>
      </c>
    </row>
    <row r="2" spans="1:4" x14ac:dyDescent="0.2">
      <c r="A2" s="2" t="s">
        <v>363</v>
      </c>
      <c r="B2" s="19">
        <v>43901</v>
      </c>
      <c r="C2" s="2" t="s">
        <v>364</v>
      </c>
      <c r="D2" s="2" t="s">
        <v>365</v>
      </c>
    </row>
    <row r="3" spans="1:4" x14ac:dyDescent="0.2">
      <c r="A3" s="2" t="s">
        <v>409</v>
      </c>
      <c r="B3" s="19">
        <v>43902</v>
      </c>
      <c r="C3" s="2" t="s">
        <v>364</v>
      </c>
      <c r="D3" s="2" t="s">
        <v>410</v>
      </c>
    </row>
    <row r="4" spans="1:4" x14ac:dyDescent="0.2">
      <c r="A4" s="2" t="s">
        <v>445</v>
      </c>
      <c r="B4" s="19">
        <v>43903</v>
      </c>
      <c r="C4" s="2" t="s">
        <v>364</v>
      </c>
      <c r="D4" s="2" t="s">
        <v>446</v>
      </c>
    </row>
    <row r="5" spans="1:4" x14ac:dyDescent="0.2">
      <c r="A5" s="2" t="s">
        <v>511</v>
      </c>
      <c r="B5" s="19">
        <v>43905</v>
      </c>
      <c r="C5" s="2" t="s">
        <v>512</v>
      </c>
      <c r="D5" s="20" t="s">
        <v>513</v>
      </c>
    </row>
    <row r="6" spans="1:4" x14ac:dyDescent="0.2">
      <c r="A6" s="2" t="s">
        <v>517</v>
      </c>
      <c r="B6" s="19">
        <v>43905</v>
      </c>
      <c r="C6" s="2" t="s">
        <v>364</v>
      </c>
      <c r="D6" s="2" t="s">
        <v>518</v>
      </c>
    </row>
    <row r="7" spans="1:4" x14ac:dyDescent="0.2">
      <c r="A7" s="2" t="s">
        <v>519</v>
      </c>
      <c r="B7" s="19">
        <v>43916</v>
      </c>
      <c r="C7" s="2" t="s">
        <v>364</v>
      </c>
      <c r="D7" s="2" t="s">
        <v>520</v>
      </c>
    </row>
    <row r="8" spans="1:4" x14ac:dyDescent="0.2">
      <c r="A8" s="2" t="s">
        <v>528</v>
      </c>
      <c r="B8" s="19">
        <v>43923</v>
      </c>
      <c r="C8" s="2" t="s">
        <v>529</v>
      </c>
      <c r="D8" s="2" t="s">
        <v>530</v>
      </c>
    </row>
    <row r="9" spans="1:4" x14ac:dyDescent="0.2">
      <c r="A9" s="2" t="s">
        <v>534</v>
      </c>
      <c r="B9" s="19">
        <v>43934</v>
      </c>
      <c r="C9" s="2" t="s">
        <v>529</v>
      </c>
      <c r="D9" s="2" t="s">
        <v>535</v>
      </c>
    </row>
    <row r="10" spans="1:4" x14ac:dyDescent="0.2">
      <c r="A10" s="2"/>
      <c r="B10" s="3"/>
      <c r="C10" s="2"/>
      <c r="D10" s="2"/>
    </row>
    <row r="11" spans="1:4" x14ac:dyDescent="0.2">
      <c r="A11" s="2"/>
      <c r="B11" s="3"/>
      <c r="C11" s="2"/>
      <c r="D11" s="2"/>
    </row>
    <row r="12" spans="1:4" x14ac:dyDescent="0.2">
      <c r="A12" s="2"/>
      <c r="B12" s="3"/>
      <c r="C12" s="2"/>
      <c r="D12" s="2"/>
    </row>
    <row r="13" spans="1:4" x14ac:dyDescent="0.2">
      <c r="A13" s="2"/>
      <c r="B13" s="3"/>
      <c r="C13" s="2"/>
      <c r="D13" s="2"/>
    </row>
    <row r="14" spans="1:4" x14ac:dyDescent="0.2">
      <c r="A14" s="2"/>
      <c r="B14" s="3"/>
      <c r="C14" s="2"/>
      <c r="D14" s="2"/>
    </row>
    <row r="15" spans="1:4" x14ac:dyDescent="0.2">
      <c r="A15" s="2"/>
      <c r="B15" s="3"/>
      <c r="C15" s="2"/>
      <c r="D15" s="2"/>
    </row>
    <row r="16" spans="1:4" x14ac:dyDescent="0.2">
      <c r="A16" s="2"/>
      <c r="B16" s="3"/>
      <c r="C16" s="2"/>
      <c r="D16" s="2"/>
    </row>
    <row r="17" spans="1:4" x14ac:dyDescent="0.2">
      <c r="A17" s="2"/>
      <c r="B17" s="3"/>
      <c r="C17" s="2"/>
      <c r="D17" s="2"/>
    </row>
    <row r="18" spans="1:4" x14ac:dyDescent="0.2">
      <c r="A18" s="2"/>
      <c r="B18" s="3"/>
      <c r="C18" s="2"/>
      <c r="D18" s="2"/>
    </row>
    <row r="19" spans="1:4" x14ac:dyDescent="0.2">
      <c r="A19" s="2"/>
      <c r="B19" s="3"/>
      <c r="C19" s="2"/>
      <c r="D19" s="2"/>
    </row>
    <row r="20" spans="1:4" x14ac:dyDescent="0.2">
      <c r="A20" s="2"/>
      <c r="B20" s="3"/>
      <c r="C20" s="2"/>
      <c r="D20" s="2"/>
    </row>
    <row r="21" spans="1:4" x14ac:dyDescent="0.2">
      <c r="A21" s="2"/>
      <c r="B21" s="3"/>
      <c r="C21" s="2"/>
      <c r="D21" s="2"/>
    </row>
    <row r="22" spans="1:4" x14ac:dyDescent="0.2">
      <c r="A22" s="2"/>
      <c r="B22" s="3"/>
      <c r="C22" s="2"/>
      <c r="D22" s="2"/>
    </row>
    <row r="23" spans="1:4" x14ac:dyDescent="0.2">
      <c r="A23" s="2"/>
      <c r="B23" s="3"/>
      <c r="C23" s="2"/>
      <c r="D23" s="2"/>
    </row>
    <row r="24" spans="1:4" x14ac:dyDescent="0.2">
      <c r="A24" s="2"/>
      <c r="B24" s="3"/>
      <c r="C24" s="2"/>
      <c r="D24" s="2"/>
    </row>
    <row r="25" spans="1:4" x14ac:dyDescent="0.2">
      <c r="A25" s="2"/>
      <c r="B25" s="3"/>
      <c r="C25" s="2"/>
      <c r="D25" s="2"/>
    </row>
    <row r="26" spans="1:4" x14ac:dyDescent="0.2">
      <c r="A26" s="2"/>
      <c r="B26" s="3"/>
      <c r="C26" s="2"/>
      <c r="D26" s="2"/>
    </row>
    <row r="27" spans="1:4" x14ac:dyDescent="0.2">
      <c r="A27" s="2"/>
      <c r="B27" s="3"/>
      <c r="C27" s="2"/>
      <c r="D27" s="2"/>
    </row>
    <row r="28" spans="1:4" x14ac:dyDescent="0.2">
      <c r="A28" s="2"/>
      <c r="B28" s="3"/>
      <c r="C28" s="2"/>
      <c r="D28" s="2"/>
    </row>
    <row r="29" spans="1:4" x14ac:dyDescent="0.2">
      <c r="A29" s="2"/>
      <c r="B29" s="3"/>
      <c r="C29" s="2"/>
      <c r="D29" s="2"/>
    </row>
    <row r="30" spans="1:4" x14ac:dyDescent="0.2">
      <c r="A30" s="2"/>
      <c r="B30" s="3"/>
      <c r="C30" s="2"/>
      <c r="D30" s="2"/>
    </row>
    <row r="31" spans="1:4" x14ac:dyDescent="0.2">
      <c r="A31" s="2"/>
      <c r="B31" s="3"/>
      <c r="C31" s="2"/>
      <c r="D31" s="2"/>
    </row>
    <row r="32" spans="1:4" x14ac:dyDescent="0.2">
      <c r="A32" s="2"/>
      <c r="B32" s="3"/>
      <c r="C32" s="2"/>
      <c r="D32" s="2"/>
    </row>
    <row r="33" spans="1:4" x14ac:dyDescent="0.2">
      <c r="A33" s="2"/>
      <c r="B33" s="3"/>
      <c r="C33" s="2"/>
      <c r="D33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0A9BE-F046-9049-8A0B-632F3AA51FE2}">
  <sheetPr codeName="Sheet2"/>
  <dimension ref="A1:O33"/>
  <sheetViews>
    <sheetView topLeftCell="B1" workbookViewId="0">
      <selection activeCell="C34" sqref="C34"/>
    </sheetView>
  </sheetViews>
  <sheetFormatPr baseColWidth="10" defaultRowHeight="16" x14ac:dyDescent="0.2"/>
  <cols>
    <col min="1" max="1" width="18.1640625" customWidth="1"/>
    <col min="2" max="2" width="37" customWidth="1"/>
    <col min="7" max="7" width="25.33203125" customWidth="1"/>
    <col min="9" max="9" width="18.1640625" customWidth="1"/>
    <col min="10" max="10" width="39.6640625" customWidth="1"/>
    <col min="15" max="15" width="25.33203125" customWidth="1"/>
  </cols>
  <sheetData>
    <row r="1" spans="1:15" x14ac:dyDescent="0.2">
      <c r="A1" s="34" t="s">
        <v>367</v>
      </c>
      <c r="B1" s="34"/>
      <c r="C1" s="34"/>
      <c r="D1" s="34"/>
      <c r="E1" s="34"/>
      <c r="F1" s="34"/>
      <c r="G1" s="34"/>
      <c r="I1" s="34" t="s">
        <v>444</v>
      </c>
      <c r="J1" s="34"/>
      <c r="K1" s="34"/>
      <c r="L1" s="34"/>
      <c r="M1" s="34"/>
      <c r="N1" s="34"/>
      <c r="O1" s="34"/>
    </row>
    <row r="2" spans="1:15" x14ac:dyDescent="0.2">
      <c r="A2" s="22" t="s">
        <v>368</v>
      </c>
      <c r="B2" s="22" t="s">
        <v>136</v>
      </c>
      <c r="C2" s="23" t="s">
        <v>369</v>
      </c>
      <c r="D2" s="26" t="s">
        <v>408</v>
      </c>
      <c r="E2" s="25" t="s">
        <v>370</v>
      </c>
      <c r="F2" s="24" t="s">
        <v>371</v>
      </c>
      <c r="G2" s="2" t="s">
        <v>362</v>
      </c>
      <c r="I2" s="22" t="s">
        <v>368</v>
      </c>
      <c r="J2" s="22" t="s">
        <v>136</v>
      </c>
      <c r="K2" s="23" t="s">
        <v>369</v>
      </c>
      <c r="L2" s="26" t="s">
        <v>408</v>
      </c>
      <c r="M2" s="25" t="s">
        <v>370</v>
      </c>
      <c r="N2" s="24" t="s">
        <v>371</v>
      </c>
      <c r="O2" s="2" t="s">
        <v>362</v>
      </c>
    </row>
    <row r="3" spans="1:15" x14ac:dyDescent="0.2">
      <c r="A3" s="2" t="s">
        <v>372</v>
      </c>
      <c r="B3" s="2" t="s">
        <v>416</v>
      </c>
      <c r="C3" s="2" t="s">
        <v>389</v>
      </c>
      <c r="D3" s="2" t="s">
        <v>390</v>
      </c>
      <c r="E3" s="2" t="s">
        <v>390</v>
      </c>
      <c r="F3" s="2" t="s">
        <v>403</v>
      </c>
      <c r="G3" s="2"/>
      <c r="I3" s="2" t="s">
        <v>372</v>
      </c>
      <c r="J3" s="2" t="s">
        <v>441</v>
      </c>
      <c r="K3" s="2" t="s">
        <v>389</v>
      </c>
      <c r="L3" s="2" t="s">
        <v>390</v>
      </c>
      <c r="M3" s="2" t="s">
        <v>390</v>
      </c>
      <c r="N3" s="2" t="s">
        <v>403</v>
      </c>
      <c r="O3" s="2"/>
    </row>
    <row r="4" spans="1:15" x14ac:dyDescent="0.2">
      <c r="A4" s="2" t="s">
        <v>373</v>
      </c>
      <c r="B4" s="2" t="s">
        <v>412</v>
      </c>
      <c r="C4" s="2" t="s">
        <v>390</v>
      </c>
      <c r="D4" s="2" t="s">
        <v>390</v>
      </c>
      <c r="E4" s="2" t="s">
        <v>390</v>
      </c>
      <c r="F4" s="2" t="s">
        <v>403</v>
      </c>
      <c r="G4" s="2"/>
      <c r="I4" s="2" t="s">
        <v>406</v>
      </c>
      <c r="J4" s="2" t="s">
        <v>442</v>
      </c>
      <c r="K4" s="2" t="s">
        <v>390</v>
      </c>
      <c r="L4" s="2" t="s">
        <v>389</v>
      </c>
      <c r="M4" s="2" t="s">
        <v>390</v>
      </c>
      <c r="N4" s="2" t="s">
        <v>403</v>
      </c>
      <c r="O4" s="2"/>
    </row>
    <row r="5" spans="1:15" x14ac:dyDescent="0.2">
      <c r="A5" s="2" t="s">
        <v>374</v>
      </c>
      <c r="B5" s="2" t="s">
        <v>413</v>
      </c>
      <c r="C5" s="2" t="s">
        <v>390</v>
      </c>
      <c r="D5" s="2" t="s">
        <v>390</v>
      </c>
      <c r="E5" s="2" t="s">
        <v>390</v>
      </c>
      <c r="F5" s="2" t="s">
        <v>403</v>
      </c>
      <c r="G5" s="2"/>
      <c r="I5" s="2" t="s">
        <v>407</v>
      </c>
      <c r="J5" s="2" t="s">
        <v>443</v>
      </c>
      <c r="K5" s="2" t="s">
        <v>390</v>
      </c>
      <c r="L5" s="2" t="s">
        <v>389</v>
      </c>
      <c r="M5" s="2" t="s">
        <v>390</v>
      </c>
      <c r="N5" s="2" t="s">
        <v>403</v>
      </c>
      <c r="O5" s="2"/>
    </row>
    <row r="6" spans="1:15" x14ac:dyDescent="0.2">
      <c r="A6" s="2" t="s">
        <v>145</v>
      </c>
      <c r="B6" s="2" t="s">
        <v>414</v>
      </c>
      <c r="C6" s="2" t="s">
        <v>390</v>
      </c>
      <c r="D6" s="2" t="s">
        <v>390</v>
      </c>
      <c r="E6" s="2" t="s">
        <v>390</v>
      </c>
      <c r="F6" s="2" t="s">
        <v>404</v>
      </c>
      <c r="G6" s="2"/>
    </row>
    <row r="7" spans="1:15" x14ac:dyDescent="0.2">
      <c r="A7" s="2" t="s">
        <v>375</v>
      </c>
      <c r="B7" s="2" t="s">
        <v>415</v>
      </c>
      <c r="C7" s="2" t="s">
        <v>390</v>
      </c>
      <c r="D7" s="2" t="s">
        <v>390</v>
      </c>
      <c r="E7" s="2" t="s">
        <v>389</v>
      </c>
      <c r="F7" s="2" t="s">
        <v>403</v>
      </c>
      <c r="G7" s="2"/>
      <c r="I7" s="34" t="s">
        <v>523</v>
      </c>
      <c r="J7" s="34"/>
      <c r="K7" s="34"/>
      <c r="L7" s="34"/>
      <c r="M7" s="34"/>
      <c r="N7" s="34"/>
      <c r="O7" s="34"/>
    </row>
    <row r="8" spans="1:15" x14ac:dyDescent="0.2">
      <c r="A8" s="2" t="s">
        <v>376</v>
      </c>
      <c r="B8" s="2" t="s">
        <v>417</v>
      </c>
      <c r="C8" s="2" t="s">
        <v>390</v>
      </c>
      <c r="D8" s="2" t="s">
        <v>390</v>
      </c>
      <c r="E8" s="2" t="s">
        <v>389</v>
      </c>
      <c r="F8" s="2" t="s">
        <v>403</v>
      </c>
      <c r="G8" s="2"/>
      <c r="I8" s="22" t="s">
        <v>368</v>
      </c>
      <c r="J8" s="22" t="s">
        <v>136</v>
      </c>
      <c r="K8" s="23" t="s">
        <v>369</v>
      </c>
      <c r="L8" s="26" t="s">
        <v>408</v>
      </c>
      <c r="M8" s="25" t="s">
        <v>370</v>
      </c>
      <c r="N8" s="24" t="s">
        <v>371</v>
      </c>
      <c r="O8" s="2" t="s">
        <v>362</v>
      </c>
    </row>
    <row r="9" spans="1:15" x14ac:dyDescent="0.2">
      <c r="A9" s="2" t="s">
        <v>377</v>
      </c>
      <c r="B9" s="2" t="s">
        <v>418</v>
      </c>
      <c r="C9" s="2" t="s">
        <v>390</v>
      </c>
      <c r="D9" s="2" t="s">
        <v>390</v>
      </c>
      <c r="E9" s="2" t="s">
        <v>389</v>
      </c>
      <c r="F9" s="2" t="s">
        <v>405</v>
      </c>
      <c r="G9" s="2"/>
      <c r="I9" s="2" t="s">
        <v>372</v>
      </c>
      <c r="J9" s="2" t="s">
        <v>525</v>
      </c>
      <c r="K9" s="2" t="s">
        <v>389</v>
      </c>
      <c r="L9" s="2" t="s">
        <v>390</v>
      </c>
      <c r="M9" s="2" t="s">
        <v>390</v>
      </c>
      <c r="N9" s="2" t="s">
        <v>403</v>
      </c>
      <c r="O9" s="2"/>
    </row>
    <row r="10" spans="1:15" x14ac:dyDescent="0.2">
      <c r="A10" s="2" t="s">
        <v>378</v>
      </c>
      <c r="B10" s="2" t="s">
        <v>419</v>
      </c>
      <c r="C10" s="2" t="s">
        <v>390</v>
      </c>
      <c r="D10" s="2" t="s">
        <v>390</v>
      </c>
      <c r="E10" s="2" t="s">
        <v>389</v>
      </c>
      <c r="F10" s="2" t="s">
        <v>405</v>
      </c>
      <c r="G10" s="2"/>
      <c r="I10" s="2" t="s">
        <v>524</v>
      </c>
      <c r="J10" s="2" t="s">
        <v>526</v>
      </c>
      <c r="K10" s="2" t="s">
        <v>390</v>
      </c>
      <c r="L10" s="2" t="s">
        <v>390</v>
      </c>
      <c r="M10" s="2" t="s">
        <v>390</v>
      </c>
      <c r="N10" s="2" t="s">
        <v>403</v>
      </c>
      <c r="O10" s="2"/>
    </row>
    <row r="11" spans="1:15" x14ac:dyDescent="0.2">
      <c r="A11" s="2" t="s">
        <v>388</v>
      </c>
      <c r="B11" s="2" t="s">
        <v>420</v>
      </c>
      <c r="C11" s="2" t="s">
        <v>390</v>
      </c>
      <c r="D11" s="2" t="s">
        <v>390</v>
      </c>
      <c r="E11" s="2" t="s">
        <v>389</v>
      </c>
      <c r="F11" s="2" t="s">
        <v>405</v>
      </c>
      <c r="G11" s="2"/>
    </row>
    <row r="12" spans="1:15" x14ac:dyDescent="0.2">
      <c r="A12" s="2" t="s">
        <v>380</v>
      </c>
      <c r="B12" s="2" t="s">
        <v>421</v>
      </c>
      <c r="C12" s="2" t="s">
        <v>390</v>
      </c>
      <c r="D12" s="2" t="s">
        <v>390</v>
      </c>
      <c r="E12" s="2" t="s">
        <v>389</v>
      </c>
      <c r="F12" s="2" t="s">
        <v>405</v>
      </c>
      <c r="G12" s="2"/>
    </row>
    <row r="13" spans="1:15" x14ac:dyDescent="0.2">
      <c r="A13" s="2" t="s">
        <v>514</v>
      </c>
      <c r="B13" s="2" t="s">
        <v>421</v>
      </c>
      <c r="C13" s="2" t="s">
        <v>390</v>
      </c>
      <c r="D13" s="2" t="s">
        <v>390</v>
      </c>
      <c r="E13" s="2" t="s">
        <v>389</v>
      </c>
      <c r="F13" s="2" t="s">
        <v>405</v>
      </c>
      <c r="G13" s="2"/>
    </row>
    <row r="14" spans="1:15" x14ac:dyDescent="0.2">
      <c r="A14" s="2" t="s">
        <v>381</v>
      </c>
      <c r="B14" s="2" t="s">
        <v>422</v>
      </c>
      <c r="C14" s="2" t="s">
        <v>390</v>
      </c>
      <c r="D14" s="2" t="s">
        <v>390</v>
      </c>
      <c r="E14" s="2" t="s">
        <v>389</v>
      </c>
      <c r="F14" s="2" t="s">
        <v>405</v>
      </c>
      <c r="G14" s="2"/>
    </row>
    <row r="15" spans="1:15" x14ac:dyDescent="0.2">
      <c r="A15" s="2" t="s">
        <v>383</v>
      </c>
      <c r="B15" s="2" t="s">
        <v>423</v>
      </c>
      <c r="C15" s="2" t="s">
        <v>390</v>
      </c>
      <c r="D15" s="2" t="s">
        <v>390</v>
      </c>
      <c r="E15" s="2" t="s">
        <v>389</v>
      </c>
      <c r="F15" s="2" t="s">
        <v>405</v>
      </c>
      <c r="G15" s="2"/>
    </row>
    <row r="16" spans="1:15" x14ac:dyDescent="0.2">
      <c r="A16" s="2" t="s">
        <v>387</v>
      </c>
      <c r="B16" s="2" t="s">
        <v>424</v>
      </c>
      <c r="C16" s="2" t="s">
        <v>390</v>
      </c>
      <c r="D16" s="2" t="s">
        <v>390</v>
      </c>
      <c r="E16" s="2" t="s">
        <v>389</v>
      </c>
      <c r="F16" s="2" t="s">
        <v>405</v>
      </c>
      <c r="G16" s="2"/>
    </row>
    <row r="17" spans="1:10" x14ac:dyDescent="0.2">
      <c r="A17" s="2" t="s">
        <v>382</v>
      </c>
      <c r="B17" s="2" t="s">
        <v>425</v>
      </c>
      <c r="C17" s="2" t="s">
        <v>390</v>
      </c>
      <c r="D17" s="2" t="s">
        <v>390</v>
      </c>
      <c r="E17" s="2" t="s">
        <v>389</v>
      </c>
      <c r="F17" s="2" t="s">
        <v>405</v>
      </c>
      <c r="G17" s="2"/>
    </row>
    <row r="18" spans="1:10" x14ac:dyDescent="0.2">
      <c r="A18" s="2" t="s">
        <v>384</v>
      </c>
      <c r="B18" s="2" t="s">
        <v>426</v>
      </c>
      <c r="C18" s="2" t="s">
        <v>390</v>
      </c>
      <c r="D18" s="2" t="s">
        <v>390</v>
      </c>
      <c r="E18" s="2" t="s">
        <v>389</v>
      </c>
      <c r="F18" s="2" t="s">
        <v>405</v>
      </c>
      <c r="G18" s="2"/>
    </row>
    <row r="19" spans="1:10" x14ac:dyDescent="0.2">
      <c r="A19" s="2" t="s">
        <v>385</v>
      </c>
      <c r="B19" s="2" t="s">
        <v>432</v>
      </c>
      <c r="C19" s="2" t="s">
        <v>390</v>
      </c>
      <c r="D19" s="2" t="s">
        <v>390</v>
      </c>
      <c r="E19" s="2" t="s">
        <v>389</v>
      </c>
      <c r="F19" s="2" t="s">
        <v>405</v>
      </c>
      <c r="G19" s="2"/>
    </row>
    <row r="20" spans="1:10" x14ac:dyDescent="0.2">
      <c r="A20" s="2" t="s">
        <v>386</v>
      </c>
      <c r="B20" s="2" t="s">
        <v>427</v>
      </c>
      <c r="C20" s="2" t="s">
        <v>390</v>
      </c>
      <c r="D20" s="2" t="s">
        <v>390</v>
      </c>
      <c r="E20" s="2" t="s">
        <v>389</v>
      </c>
      <c r="F20" s="2" t="s">
        <v>405</v>
      </c>
      <c r="G20" s="2"/>
    </row>
    <row r="21" spans="1:10" x14ac:dyDescent="0.2">
      <c r="A21" s="2" t="s">
        <v>396</v>
      </c>
      <c r="B21" s="2" t="s">
        <v>428</v>
      </c>
      <c r="C21" s="2" t="s">
        <v>390</v>
      </c>
      <c r="D21" s="2" t="s">
        <v>390</v>
      </c>
      <c r="E21" s="2" t="s">
        <v>389</v>
      </c>
      <c r="F21" s="2" t="s">
        <v>405</v>
      </c>
      <c r="G21" s="2"/>
    </row>
    <row r="22" spans="1:10" x14ac:dyDescent="0.2">
      <c r="A22" s="2" t="s">
        <v>515</v>
      </c>
      <c r="B22" s="2" t="s">
        <v>516</v>
      </c>
      <c r="C22" s="2" t="s">
        <v>390</v>
      </c>
      <c r="D22" s="2" t="s">
        <v>390</v>
      </c>
      <c r="E22" s="2" t="s">
        <v>389</v>
      </c>
      <c r="F22" s="2" t="s">
        <v>405</v>
      </c>
      <c r="G22" s="2"/>
    </row>
    <row r="23" spans="1:10" x14ac:dyDescent="0.2">
      <c r="A23" s="2" t="s">
        <v>391</v>
      </c>
      <c r="B23" s="2" t="s">
        <v>429</v>
      </c>
      <c r="C23" s="2" t="s">
        <v>390</v>
      </c>
      <c r="D23" s="2" t="s">
        <v>390</v>
      </c>
      <c r="E23" s="2" t="s">
        <v>389</v>
      </c>
      <c r="F23" s="2" t="s">
        <v>405</v>
      </c>
      <c r="G23" s="2"/>
    </row>
    <row r="24" spans="1:10" x14ac:dyDescent="0.2">
      <c r="A24" s="2" t="s">
        <v>392</v>
      </c>
      <c r="B24" s="2" t="s">
        <v>430</v>
      </c>
      <c r="C24" s="2" t="s">
        <v>390</v>
      </c>
      <c r="D24" s="2" t="s">
        <v>390</v>
      </c>
      <c r="E24" s="2" t="s">
        <v>389</v>
      </c>
      <c r="F24" s="2" t="s">
        <v>405</v>
      </c>
      <c r="G24" s="2"/>
    </row>
    <row r="25" spans="1:10" x14ac:dyDescent="0.2">
      <c r="A25" s="2" t="s">
        <v>393</v>
      </c>
      <c r="B25" s="2" t="s">
        <v>431</v>
      </c>
      <c r="C25" s="2" t="s">
        <v>390</v>
      </c>
      <c r="D25" s="2" t="s">
        <v>390</v>
      </c>
      <c r="E25" s="2" t="s">
        <v>389</v>
      </c>
      <c r="F25" s="2" t="s">
        <v>405</v>
      </c>
      <c r="G25" s="2"/>
    </row>
    <row r="26" spans="1:10" x14ac:dyDescent="0.2">
      <c r="A26" s="2" t="s">
        <v>394</v>
      </c>
      <c r="B26" s="2" t="s">
        <v>433</v>
      </c>
      <c r="C26" s="2" t="s">
        <v>390</v>
      </c>
      <c r="D26" s="2" t="s">
        <v>390</v>
      </c>
      <c r="E26" s="2" t="s">
        <v>389</v>
      </c>
      <c r="F26" s="2" t="s">
        <v>405</v>
      </c>
      <c r="G26" s="2"/>
    </row>
    <row r="27" spans="1:10" x14ac:dyDescent="0.2">
      <c r="A27" s="2" t="s">
        <v>395</v>
      </c>
      <c r="B27" s="2" t="s">
        <v>434</v>
      </c>
      <c r="C27" s="2" t="s">
        <v>390</v>
      </c>
      <c r="D27" s="2" t="s">
        <v>390</v>
      </c>
      <c r="E27" s="2" t="s">
        <v>389</v>
      </c>
      <c r="F27" s="2" t="s">
        <v>405</v>
      </c>
      <c r="G27" s="2"/>
    </row>
    <row r="28" spans="1:10" x14ac:dyDescent="0.2">
      <c r="A28" s="2" t="s">
        <v>397</v>
      </c>
      <c r="B28" s="2" t="s">
        <v>435</v>
      </c>
      <c r="C28" s="2" t="s">
        <v>390</v>
      </c>
      <c r="D28" s="2" t="s">
        <v>390</v>
      </c>
      <c r="E28" s="2" t="s">
        <v>389</v>
      </c>
      <c r="F28" s="2" t="s">
        <v>405</v>
      </c>
      <c r="G28" s="2"/>
      <c r="J28" s="22" t="s">
        <v>532</v>
      </c>
    </row>
    <row r="29" spans="1:10" x14ac:dyDescent="0.2">
      <c r="A29" s="2" t="s">
        <v>398</v>
      </c>
      <c r="B29" s="2" t="s">
        <v>436</v>
      </c>
      <c r="C29" s="2" t="s">
        <v>390</v>
      </c>
      <c r="D29" s="2" t="s">
        <v>390</v>
      </c>
      <c r="E29" s="2" t="s">
        <v>389</v>
      </c>
      <c r="F29" s="2" t="s">
        <v>405</v>
      </c>
      <c r="G29" s="2"/>
      <c r="J29" s="2" t="s">
        <v>533</v>
      </c>
    </row>
    <row r="30" spans="1:10" x14ac:dyDescent="0.2">
      <c r="A30" s="2" t="s">
        <v>399</v>
      </c>
      <c r="B30" s="2" t="s">
        <v>437</v>
      </c>
      <c r="C30" s="2" t="s">
        <v>390</v>
      </c>
      <c r="D30" s="2" t="s">
        <v>390</v>
      </c>
      <c r="E30" s="2" t="s">
        <v>389</v>
      </c>
      <c r="F30" s="2" t="s">
        <v>405</v>
      </c>
      <c r="G30" s="2"/>
    </row>
    <row r="31" spans="1:10" x14ac:dyDescent="0.2">
      <c r="A31" s="2" t="s">
        <v>400</v>
      </c>
      <c r="B31" s="2" t="s">
        <v>438</v>
      </c>
      <c r="C31" s="2" t="s">
        <v>390</v>
      </c>
      <c r="D31" s="2" t="s">
        <v>390</v>
      </c>
      <c r="E31" s="2" t="s">
        <v>389</v>
      </c>
      <c r="F31" s="2" t="s">
        <v>404</v>
      </c>
      <c r="G31" s="2"/>
    </row>
    <row r="32" spans="1:10" x14ac:dyDescent="0.2">
      <c r="A32" s="2" t="s">
        <v>401</v>
      </c>
      <c r="B32" s="2" t="s">
        <v>439</v>
      </c>
      <c r="C32" s="2" t="s">
        <v>390</v>
      </c>
      <c r="D32" s="2" t="s">
        <v>390</v>
      </c>
      <c r="E32" s="2" t="s">
        <v>389</v>
      </c>
      <c r="F32" s="2" t="s">
        <v>405</v>
      </c>
      <c r="G32" s="2"/>
    </row>
    <row r="33" spans="1:7" x14ac:dyDescent="0.2">
      <c r="A33" s="2" t="s">
        <v>402</v>
      </c>
      <c r="B33" s="2" t="s">
        <v>440</v>
      </c>
      <c r="C33" s="2" t="s">
        <v>390</v>
      </c>
      <c r="D33" s="2" t="s">
        <v>390</v>
      </c>
      <c r="E33" s="2" t="s">
        <v>389</v>
      </c>
      <c r="F33" s="2" t="s">
        <v>405</v>
      </c>
      <c r="G33" s="2"/>
    </row>
  </sheetData>
  <mergeCells count="3">
    <mergeCell ref="A1:G1"/>
    <mergeCell ref="I1:O1"/>
    <mergeCell ref="I7:O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_Import">
                <anchor moveWithCells="1" sizeWithCells="1">
                  <from>
                    <xdr:col>8</xdr:col>
                    <xdr:colOff>0</xdr:colOff>
                    <xdr:row>29</xdr:row>
                    <xdr:rowOff>190500</xdr:rowOff>
                  </from>
                  <to>
                    <xdr:col>11</xdr:col>
                    <xdr:colOff>12700</xdr:colOff>
                    <xdr:row>32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2FA-DFB1-A349-BCB2-69C55263AF82}">
  <sheetPr codeName="Sheet3"/>
  <dimension ref="A1:AF347"/>
  <sheetViews>
    <sheetView zoomScaleNormal="100" workbookViewId="0">
      <pane xSplit="5" ySplit="3" topLeftCell="AE320" activePane="bottomRight" state="frozen"/>
      <selection pane="topRight" activeCell="F1" sqref="F1"/>
      <selection pane="bottomLeft" activeCell="A4" sqref="A4"/>
      <selection pane="bottomRight" activeCell="A338" sqref="A338"/>
    </sheetView>
  </sheetViews>
  <sheetFormatPr baseColWidth="10" defaultRowHeight="16" outlineLevelCol="3" x14ac:dyDescent="0.2"/>
  <cols>
    <col min="1" max="1" width="32.33203125" bestFit="1" customWidth="1"/>
    <col min="3" max="3" width="19.1640625" customWidth="1"/>
    <col min="4" max="4" width="13.1640625" customWidth="1"/>
    <col min="5" max="5" width="15.83203125" customWidth="1"/>
    <col min="6" max="6" width="25.1640625" bestFit="1" customWidth="1"/>
    <col min="7" max="7" width="12.33203125" customWidth="1" outlineLevel="1"/>
    <col min="8" max="19" width="12.33203125" customWidth="1" outlineLevel="3"/>
    <col min="20" max="20" width="13.5" bestFit="1" customWidth="1" outlineLevel="3"/>
    <col min="21" max="21" width="14.83203125" customWidth="1" outlineLevel="1"/>
    <col min="22" max="26" width="14.83203125" customWidth="1" outlineLevel="2"/>
    <col min="27" max="31" width="19" customWidth="1" outlineLevel="1"/>
    <col min="32" max="32" width="107.33203125" bestFit="1" customWidth="1"/>
  </cols>
  <sheetData>
    <row r="1" spans="1:32" x14ac:dyDescent="0.2">
      <c r="A1" s="44" t="s">
        <v>123</v>
      </c>
      <c r="B1" s="38" t="s">
        <v>174</v>
      </c>
      <c r="C1" s="39"/>
      <c r="D1" s="39"/>
      <c r="E1" s="40"/>
      <c r="F1" s="47" t="s">
        <v>175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9"/>
      <c r="AF1" s="41" t="s">
        <v>136</v>
      </c>
    </row>
    <row r="2" spans="1:32" x14ac:dyDescent="0.2">
      <c r="A2" s="45"/>
      <c r="B2" s="55" t="s">
        <v>125</v>
      </c>
      <c r="C2" s="56" t="s">
        <v>124</v>
      </c>
      <c r="D2" s="56" t="s">
        <v>127</v>
      </c>
      <c r="E2" s="56" t="s">
        <v>126</v>
      </c>
      <c r="F2" s="41" t="s">
        <v>351</v>
      </c>
      <c r="G2" s="35" t="s">
        <v>142</v>
      </c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7"/>
      <c r="U2" s="50" t="s">
        <v>143</v>
      </c>
      <c r="V2" s="50"/>
      <c r="W2" s="50"/>
      <c r="X2" s="50"/>
      <c r="Y2" s="50"/>
      <c r="Z2" s="50"/>
      <c r="AA2" s="51" t="s">
        <v>170</v>
      </c>
      <c r="AB2" s="51" t="s">
        <v>171</v>
      </c>
      <c r="AC2" s="51" t="s">
        <v>366</v>
      </c>
      <c r="AD2" s="51" t="s">
        <v>172</v>
      </c>
      <c r="AE2" s="53" t="s">
        <v>173</v>
      </c>
      <c r="AF2" s="42"/>
    </row>
    <row r="3" spans="1:32" x14ac:dyDescent="0.2">
      <c r="A3" s="46"/>
      <c r="B3" s="55"/>
      <c r="C3" s="56"/>
      <c r="D3" s="56"/>
      <c r="E3" s="56"/>
      <c r="F3" s="43"/>
      <c r="G3" s="3" t="s">
        <v>148</v>
      </c>
      <c r="H3" s="3" t="s">
        <v>149</v>
      </c>
      <c r="I3" s="3" t="s">
        <v>150</v>
      </c>
      <c r="J3" s="3" t="s">
        <v>151</v>
      </c>
      <c r="K3" s="33" t="s">
        <v>487</v>
      </c>
      <c r="L3" s="3" t="s">
        <v>152</v>
      </c>
      <c r="M3" s="3" t="s">
        <v>379</v>
      </c>
      <c r="N3" s="3" t="s">
        <v>153</v>
      </c>
      <c r="O3" s="3" t="s">
        <v>154</v>
      </c>
      <c r="P3" s="3" t="s">
        <v>155</v>
      </c>
      <c r="Q3" s="3" t="s">
        <v>160</v>
      </c>
      <c r="R3" s="3" t="s">
        <v>161</v>
      </c>
      <c r="S3" s="3" t="s">
        <v>164</v>
      </c>
      <c r="T3" s="28" t="s">
        <v>357</v>
      </c>
      <c r="U3" s="7" t="s">
        <v>152</v>
      </c>
      <c r="V3" s="7" t="s">
        <v>162</v>
      </c>
      <c r="W3" s="7" t="s">
        <v>160</v>
      </c>
      <c r="X3" s="7" t="s">
        <v>163</v>
      </c>
      <c r="Y3" s="7" t="s">
        <v>164</v>
      </c>
      <c r="Z3" s="7" t="s">
        <v>357</v>
      </c>
      <c r="AA3" s="52"/>
      <c r="AB3" s="52"/>
      <c r="AC3" s="52"/>
      <c r="AD3" s="52"/>
      <c r="AE3" s="54"/>
      <c r="AF3" s="43"/>
    </row>
    <row r="4" spans="1:32" x14ac:dyDescent="0.2">
      <c r="A4" s="6" t="str">
        <f>IF(D4="Fixed",C4,C4&amp;"-"&amp;E4)</f>
        <v>WS-C2960X-48FPD-L</v>
      </c>
      <c r="B4" s="2" t="s">
        <v>130</v>
      </c>
      <c r="C4" s="2" t="s">
        <v>0</v>
      </c>
      <c r="D4" s="2" t="s">
        <v>128</v>
      </c>
      <c r="E4" s="2"/>
      <c r="F4" s="2" t="s">
        <v>352</v>
      </c>
      <c r="G4" s="2">
        <v>24</v>
      </c>
      <c r="H4" s="2"/>
      <c r="I4" s="2">
        <v>24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>
        <v>2</v>
      </c>
      <c r="X4" s="2"/>
      <c r="Y4" s="2"/>
      <c r="Z4" s="2"/>
      <c r="AA4" s="2">
        <v>740</v>
      </c>
      <c r="AB4" s="2">
        <v>216</v>
      </c>
      <c r="AC4" s="2" t="s">
        <v>389</v>
      </c>
      <c r="AD4" s="2">
        <v>16000</v>
      </c>
      <c r="AE4" s="2">
        <v>1023</v>
      </c>
      <c r="AF4" s="6" t="s">
        <v>449</v>
      </c>
    </row>
    <row r="5" spans="1:32" x14ac:dyDescent="0.2">
      <c r="A5" s="2" t="str">
        <f t="shared" ref="A5:A87" si="0">IF(D5="Fixed",C5,C5&amp;"-"&amp;E5)</f>
        <v>WS-C2960X-48LPD-L</v>
      </c>
      <c r="B5" s="2" t="s">
        <v>130</v>
      </c>
      <c r="C5" s="2" t="s">
        <v>1</v>
      </c>
      <c r="D5" s="2" t="s">
        <v>128</v>
      </c>
      <c r="E5" s="2"/>
      <c r="F5" s="2" t="s">
        <v>352</v>
      </c>
      <c r="G5" s="2">
        <v>36</v>
      </c>
      <c r="H5" s="2"/>
      <c r="I5" s="2">
        <v>12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>
        <v>2</v>
      </c>
      <c r="X5" s="2"/>
      <c r="Y5" s="2"/>
      <c r="Z5" s="2"/>
      <c r="AA5" s="2">
        <v>370</v>
      </c>
      <c r="AB5" s="2">
        <v>216</v>
      </c>
      <c r="AC5" s="2" t="s">
        <v>389</v>
      </c>
      <c r="AD5" s="2">
        <v>16000</v>
      </c>
      <c r="AE5" s="2">
        <v>1023</v>
      </c>
      <c r="AF5" s="2" t="s">
        <v>450</v>
      </c>
    </row>
    <row r="6" spans="1:32" x14ac:dyDescent="0.2">
      <c r="A6" s="2" t="str">
        <f t="shared" si="0"/>
        <v>WS-C2960X-24PD-L</v>
      </c>
      <c r="B6" s="2" t="s">
        <v>130</v>
      </c>
      <c r="C6" s="2" t="s">
        <v>2</v>
      </c>
      <c r="D6" s="2" t="s">
        <v>128</v>
      </c>
      <c r="E6" s="2"/>
      <c r="F6" s="2" t="s">
        <v>352</v>
      </c>
      <c r="G6" s="2">
        <v>12</v>
      </c>
      <c r="H6" s="2"/>
      <c r="I6" s="2">
        <v>12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>
        <v>2</v>
      </c>
      <c r="X6" s="2"/>
      <c r="Y6" s="2"/>
      <c r="Z6" s="2"/>
      <c r="AA6" s="2">
        <v>370</v>
      </c>
      <c r="AB6" s="2">
        <v>216</v>
      </c>
      <c r="AC6" s="2" t="s">
        <v>389</v>
      </c>
      <c r="AD6" s="2">
        <v>16000</v>
      </c>
      <c r="AE6" s="2">
        <v>1023</v>
      </c>
      <c r="AF6" s="2" t="s">
        <v>450</v>
      </c>
    </row>
    <row r="7" spans="1:32" x14ac:dyDescent="0.2">
      <c r="A7" s="2" t="str">
        <f t="shared" si="0"/>
        <v>WS-C2960X-48TD-L</v>
      </c>
      <c r="B7" s="2" t="s">
        <v>130</v>
      </c>
      <c r="C7" s="2" t="s">
        <v>3</v>
      </c>
      <c r="D7" s="2" t="s">
        <v>128</v>
      </c>
      <c r="E7" s="2"/>
      <c r="F7" s="2" t="s">
        <v>352</v>
      </c>
      <c r="G7" s="2">
        <v>48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>
        <v>2</v>
      </c>
      <c r="X7" s="2"/>
      <c r="Y7" s="2"/>
      <c r="Z7" s="2"/>
      <c r="AA7" s="2"/>
      <c r="AB7" s="2">
        <v>216</v>
      </c>
      <c r="AC7" s="2" t="s">
        <v>389</v>
      </c>
      <c r="AD7" s="2">
        <v>16000</v>
      </c>
      <c r="AE7" s="2">
        <v>1023</v>
      </c>
      <c r="AF7" s="2"/>
    </row>
    <row r="8" spans="1:32" x14ac:dyDescent="0.2">
      <c r="A8" s="2" t="str">
        <f t="shared" si="0"/>
        <v>WS-C2960X-24TD-L</v>
      </c>
      <c r="B8" s="2" t="s">
        <v>130</v>
      </c>
      <c r="C8" s="2" t="s">
        <v>4</v>
      </c>
      <c r="D8" s="2" t="s">
        <v>128</v>
      </c>
      <c r="E8" s="2"/>
      <c r="F8" s="2" t="s">
        <v>352</v>
      </c>
      <c r="G8" s="2">
        <v>24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>
        <v>2</v>
      </c>
      <c r="X8" s="2"/>
      <c r="Y8" s="2"/>
      <c r="Z8" s="2"/>
      <c r="AA8" s="2"/>
      <c r="AB8" s="2">
        <v>216</v>
      </c>
      <c r="AC8" s="2" t="s">
        <v>389</v>
      </c>
      <c r="AD8" s="2">
        <v>16000</v>
      </c>
      <c r="AE8" s="2">
        <v>1023</v>
      </c>
      <c r="AF8" s="2"/>
    </row>
    <row r="9" spans="1:32" x14ac:dyDescent="0.2">
      <c r="A9" s="2" t="str">
        <f t="shared" si="0"/>
        <v>WS-C2960X-48FPS-L</v>
      </c>
      <c r="B9" s="2" t="s">
        <v>130</v>
      </c>
      <c r="C9" s="2" t="s">
        <v>5</v>
      </c>
      <c r="D9" s="2" t="s">
        <v>128</v>
      </c>
      <c r="E9" s="2"/>
      <c r="F9" s="2" t="s">
        <v>352</v>
      </c>
      <c r="G9" s="2">
        <v>24</v>
      </c>
      <c r="H9" s="2"/>
      <c r="I9" s="2">
        <v>24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>
        <v>4</v>
      </c>
      <c r="V9" s="2"/>
      <c r="W9" s="2"/>
      <c r="X9" s="2"/>
      <c r="Y9" s="2"/>
      <c r="Z9" s="2"/>
      <c r="AA9" s="2">
        <v>740</v>
      </c>
      <c r="AB9" s="2">
        <v>216</v>
      </c>
      <c r="AC9" s="2" t="s">
        <v>389</v>
      </c>
      <c r="AD9" s="2">
        <v>16000</v>
      </c>
      <c r="AE9" s="2">
        <v>1023</v>
      </c>
      <c r="AF9" s="2" t="s">
        <v>449</v>
      </c>
    </row>
    <row r="10" spans="1:32" x14ac:dyDescent="0.2">
      <c r="A10" s="2" t="str">
        <f t="shared" si="0"/>
        <v>WS-C2960X-48LPS-L</v>
      </c>
      <c r="B10" s="2" t="s">
        <v>130</v>
      </c>
      <c r="C10" s="2" t="s">
        <v>6</v>
      </c>
      <c r="D10" s="2" t="s">
        <v>128</v>
      </c>
      <c r="E10" s="2"/>
      <c r="F10" s="2" t="s">
        <v>352</v>
      </c>
      <c r="G10" s="2">
        <v>36</v>
      </c>
      <c r="H10" s="2"/>
      <c r="I10" s="2">
        <v>12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>
        <v>4</v>
      </c>
      <c r="V10" s="2"/>
      <c r="W10" s="2"/>
      <c r="X10" s="2"/>
      <c r="Y10" s="2"/>
      <c r="Z10" s="2"/>
      <c r="AA10" s="2">
        <v>370</v>
      </c>
      <c r="AB10" s="2">
        <v>216</v>
      </c>
      <c r="AC10" s="2" t="s">
        <v>389</v>
      </c>
      <c r="AD10" s="2">
        <v>16000</v>
      </c>
      <c r="AE10" s="2">
        <v>1023</v>
      </c>
      <c r="AF10" s="2" t="s">
        <v>450</v>
      </c>
    </row>
    <row r="11" spans="1:32" x14ac:dyDescent="0.2">
      <c r="A11" s="2" t="str">
        <f t="shared" si="0"/>
        <v>WS-C2960X-24PS-L</v>
      </c>
      <c r="B11" s="2" t="s">
        <v>130</v>
      </c>
      <c r="C11" s="2" t="s">
        <v>7</v>
      </c>
      <c r="D11" s="2" t="s">
        <v>128</v>
      </c>
      <c r="E11" s="2"/>
      <c r="F11" s="2" t="s">
        <v>352</v>
      </c>
      <c r="G11" s="2">
        <v>12</v>
      </c>
      <c r="H11" s="2"/>
      <c r="I11" s="2">
        <v>12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>
        <v>4</v>
      </c>
      <c r="V11" s="2"/>
      <c r="W11" s="2"/>
      <c r="X11" s="2"/>
      <c r="Y11" s="2"/>
      <c r="Z11" s="2"/>
      <c r="AA11" s="2">
        <v>370</v>
      </c>
      <c r="AB11" s="2">
        <v>216</v>
      </c>
      <c r="AC11" s="2" t="s">
        <v>389</v>
      </c>
      <c r="AD11" s="2">
        <v>16000</v>
      </c>
      <c r="AE11" s="2">
        <v>1023</v>
      </c>
      <c r="AF11" s="2" t="s">
        <v>450</v>
      </c>
    </row>
    <row r="12" spans="1:32" x14ac:dyDescent="0.2">
      <c r="A12" s="2" t="str">
        <f t="shared" si="0"/>
        <v>WS-C2960X-48TS-L</v>
      </c>
      <c r="B12" s="2" t="s">
        <v>130</v>
      </c>
      <c r="C12" s="2" t="s">
        <v>8</v>
      </c>
      <c r="D12" s="2" t="s">
        <v>128</v>
      </c>
      <c r="E12" s="2"/>
      <c r="F12" s="2" t="s">
        <v>352</v>
      </c>
      <c r="G12" s="2">
        <v>48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>
        <v>4</v>
      </c>
      <c r="V12" s="2"/>
      <c r="W12" s="2"/>
      <c r="X12" s="2"/>
      <c r="Y12" s="2"/>
      <c r="Z12" s="2"/>
      <c r="AA12" s="2"/>
      <c r="AB12" s="2">
        <v>216</v>
      </c>
      <c r="AC12" s="2" t="s">
        <v>389</v>
      </c>
      <c r="AD12" s="2">
        <v>16000</v>
      </c>
      <c r="AE12" s="2">
        <v>1023</v>
      </c>
      <c r="AF12" s="2"/>
    </row>
    <row r="13" spans="1:32" x14ac:dyDescent="0.2">
      <c r="A13" s="2" t="str">
        <f t="shared" si="0"/>
        <v>WS-C2960X-24TS-L</v>
      </c>
      <c r="B13" s="2" t="s">
        <v>130</v>
      </c>
      <c r="C13" s="2" t="s">
        <v>9</v>
      </c>
      <c r="D13" s="2" t="s">
        <v>128</v>
      </c>
      <c r="E13" s="2"/>
      <c r="F13" s="2" t="s">
        <v>352</v>
      </c>
      <c r="G13" s="2">
        <v>24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>
        <v>4</v>
      </c>
      <c r="V13" s="2"/>
      <c r="W13" s="2"/>
      <c r="X13" s="2"/>
      <c r="Y13" s="2"/>
      <c r="Z13" s="2"/>
      <c r="AA13" s="2"/>
      <c r="AB13" s="2">
        <v>216</v>
      </c>
      <c r="AC13" s="2" t="s">
        <v>389</v>
      </c>
      <c r="AD13" s="2">
        <v>16000</v>
      </c>
      <c r="AE13" s="2">
        <v>1023</v>
      </c>
      <c r="AF13" s="2"/>
    </row>
    <row r="14" spans="1:32" x14ac:dyDescent="0.2">
      <c r="A14" s="2" t="str">
        <f t="shared" si="0"/>
        <v>WS-C2960X-24PSQ-L</v>
      </c>
      <c r="B14" s="2" t="s">
        <v>130</v>
      </c>
      <c r="C14" s="2" t="s">
        <v>10</v>
      </c>
      <c r="D14" s="2" t="s">
        <v>128</v>
      </c>
      <c r="E14" s="2"/>
      <c r="F14" s="2" t="s">
        <v>352</v>
      </c>
      <c r="G14" s="2">
        <v>21</v>
      </c>
      <c r="H14" s="2"/>
      <c r="I14" s="2">
        <v>3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>
        <v>2</v>
      </c>
      <c r="V14" s="2"/>
      <c r="W14" s="2"/>
      <c r="X14" s="2"/>
      <c r="Y14" s="2"/>
      <c r="Z14" s="2"/>
      <c r="AA14" s="2">
        <v>110</v>
      </c>
      <c r="AB14" s="2">
        <v>216</v>
      </c>
      <c r="AC14" s="2" t="s">
        <v>390</v>
      </c>
      <c r="AD14" s="2">
        <v>16000</v>
      </c>
      <c r="AE14" s="2">
        <v>1023</v>
      </c>
      <c r="AF14" s="2" t="s">
        <v>451</v>
      </c>
    </row>
    <row r="15" spans="1:32" x14ac:dyDescent="0.2">
      <c r="A15" s="2" t="str">
        <f t="shared" si="0"/>
        <v>WS-C2960X-48TS-LL</v>
      </c>
      <c r="B15" s="2" t="s">
        <v>130</v>
      </c>
      <c r="C15" s="2" t="s">
        <v>11</v>
      </c>
      <c r="D15" s="2" t="s">
        <v>128</v>
      </c>
      <c r="E15" s="2"/>
      <c r="F15" s="2" t="s">
        <v>352</v>
      </c>
      <c r="G15" s="2">
        <v>48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>
        <v>2</v>
      </c>
      <c r="V15" s="2"/>
      <c r="W15" s="2"/>
      <c r="X15" s="2"/>
      <c r="Y15" s="2"/>
      <c r="Z15" s="2"/>
      <c r="AA15" s="2"/>
      <c r="AB15" s="2">
        <v>100</v>
      </c>
      <c r="AC15" s="2" t="s">
        <v>390</v>
      </c>
      <c r="AD15" s="2">
        <v>16000</v>
      </c>
      <c r="AE15" s="2">
        <v>1023</v>
      </c>
      <c r="AF15" s="2"/>
    </row>
    <row r="16" spans="1:32" x14ac:dyDescent="0.2">
      <c r="A16" s="2" t="str">
        <f t="shared" si="0"/>
        <v>WS-C2960X-24TS-LL</v>
      </c>
      <c r="B16" s="2" t="s">
        <v>130</v>
      </c>
      <c r="C16" s="2" t="s">
        <v>12</v>
      </c>
      <c r="D16" s="2" t="s">
        <v>128</v>
      </c>
      <c r="E16" s="2"/>
      <c r="F16" s="2" t="s">
        <v>352</v>
      </c>
      <c r="G16" s="2">
        <v>24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>
        <v>2</v>
      </c>
      <c r="V16" s="2"/>
      <c r="W16" s="2"/>
      <c r="X16" s="2"/>
      <c r="Y16" s="2"/>
      <c r="Z16" s="2"/>
      <c r="AA16" s="2"/>
      <c r="AB16" s="2">
        <v>100</v>
      </c>
      <c r="AC16" s="2" t="s">
        <v>390</v>
      </c>
      <c r="AD16" s="2">
        <v>16000</v>
      </c>
      <c r="AE16" s="2">
        <v>1023</v>
      </c>
      <c r="AF16" s="2"/>
    </row>
    <row r="17" spans="1:32" x14ac:dyDescent="0.2">
      <c r="A17" s="2" t="str">
        <f t="shared" si="0"/>
        <v>WS-C2960CX-8PC-L</v>
      </c>
      <c r="B17" s="2" t="s">
        <v>130</v>
      </c>
      <c r="C17" s="2" t="s">
        <v>13</v>
      </c>
      <c r="D17" s="2" t="s">
        <v>128</v>
      </c>
      <c r="E17" s="2"/>
      <c r="F17" s="2" t="s">
        <v>352</v>
      </c>
      <c r="G17" s="2"/>
      <c r="H17" s="2"/>
      <c r="I17" s="2">
        <v>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>
        <v>4</v>
      </c>
      <c r="V17" s="2"/>
      <c r="W17" s="2"/>
      <c r="X17" s="2"/>
      <c r="Y17" s="2"/>
      <c r="Z17" s="2"/>
      <c r="AA17" s="2">
        <v>124</v>
      </c>
      <c r="AB17" s="2">
        <v>24</v>
      </c>
      <c r="AC17" s="2" t="s">
        <v>390</v>
      </c>
      <c r="AD17" s="2">
        <v>16000</v>
      </c>
      <c r="AE17" s="2">
        <v>255</v>
      </c>
      <c r="AF17" s="2" t="s">
        <v>459</v>
      </c>
    </row>
    <row r="18" spans="1:32" x14ac:dyDescent="0.2">
      <c r="A18" s="2" t="str">
        <f t="shared" si="0"/>
        <v>WS-C2960CX-8TC-L</v>
      </c>
      <c r="B18" s="2" t="s">
        <v>130</v>
      </c>
      <c r="C18" s="2" t="s">
        <v>14</v>
      </c>
      <c r="D18" s="2" t="s">
        <v>128</v>
      </c>
      <c r="E18" s="2"/>
      <c r="F18" s="2" t="s">
        <v>352</v>
      </c>
      <c r="G18" s="2">
        <v>8</v>
      </c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>
        <v>4</v>
      </c>
      <c r="V18" s="2"/>
      <c r="W18" s="2"/>
      <c r="X18" s="2"/>
      <c r="Y18" s="2"/>
      <c r="Z18" s="2"/>
      <c r="AA18" s="2"/>
      <c r="AB18" s="2">
        <v>24</v>
      </c>
      <c r="AC18" s="2" t="s">
        <v>390</v>
      </c>
      <c r="AD18" s="2">
        <v>16000</v>
      </c>
      <c r="AE18" s="2">
        <v>255</v>
      </c>
      <c r="AF18" s="2" t="s">
        <v>459</v>
      </c>
    </row>
    <row r="19" spans="1:32" x14ac:dyDescent="0.2">
      <c r="A19" s="2" t="str">
        <f t="shared" si="0"/>
        <v>WS-C2960XR-48FPD-I</v>
      </c>
      <c r="B19" s="2" t="s">
        <v>130</v>
      </c>
      <c r="C19" s="2" t="s">
        <v>15</v>
      </c>
      <c r="D19" s="2" t="s">
        <v>128</v>
      </c>
      <c r="E19" s="2"/>
      <c r="F19" s="2" t="s">
        <v>352</v>
      </c>
      <c r="G19" s="2">
        <v>24</v>
      </c>
      <c r="H19" s="2"/>
      <c r="I19" s="2">
        <v>24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>
        <v>2</v>
      </c>
      <c r="X19" s="2"/>
      <c r="Y19" s="2"/>
      <c r="Z19" s="2"/>
      <c r="AA19" s="2">
        <v>740</v>
      </c>
      <c r="AB19" s="2">
        <v>216</v>
      </c>
      <c r="AC19" s="2" t="s">
        <v>389</v>
      </c>
      <c r="AD19" s="2">
        <v>16000</v>
      </c>
      <c r="AE19" s="2">
        <v>1023</v>
      </c>
      <c r="AF19" s="2" t="s">
        <v>449</v>
      </c>
    </row>
    <row r="20" spans="1:32" x14ac:dyDescent="0.2">
      <c r="A20" s="2" t="str">
        <f>IF(D20="Fixed",C20,C20&amp;"-"&amp;E20)</f>
        <v>WS-C2960XR-48LPD-I</v>
      </c>
      <c r="B20" s="2" t="s">
        <v>130</v>
      </c>
      <c r="C20" s="2" t="s">
        <v>411</v>
      </c>
      <c r="D20" s="2" t="s">
        <v>128</v>
      </c>
      <c r="E20" s="2"/>
      <c r="F20" s="2" t="s">
        <v>352</v>
      </c>
      <c r="G20" s="2">
        <v>36</v>
      </c>
      <c r="H20" s="2"/>
      <c r="I20" s="2">
        <v>12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>
        <v>2</v>
      </c>
      <c r="X20" s="2"/>
      <c r="Y20" s="2"/>
      <c r="Z20" s="2"/>
      <c r="AA20" s="2">
        <v>370</v>
      </c>
      <c r="AB20" s="2">
        <v>216</v>
      </c>
      <c r="AC20" s="2" t="s">
        <v>389</v>
      </c>
      <c r="AD20" s="2">
        <v>16000</v>
      </c>
      <c r="AE20" s="2">
        <v>1023</v>
      </c>
      <c r="AF20" s="2" t="s">
        <v>450</v>
      </c>
    </row>
    <row r="21" spans="1:32" x14ac:dyDescent="0.2">
      <c r="A21" s="2" t="str">
        <f t="shared" si="0"/>
        <v>WS-C2960XR-24PD-I</v>
      </c>
      <c r="B21" s="2" t="s">
        <v>130</v>
      </c>
      <c r="C21" s="2" t="s">
        <v>16</v>
      </c>
      <c r="D21" s="2" t="s">
        <v>128</v>
      </c>
      <c r="E21" s="2"/>
      <c r="F21" s="2" t="s">
        <v>352</v>
      </c>
      <c r="G21" s="2">
        <v>12</v>
      </c>
      <c r="H21" s="2"/>
      <c r="I21" s="2">
        <v>12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>
        <v>2</v>
      </c>
      <c r="X21" s="2"/>
      <c r="Y21" s="2"/>
      <c r="Z21" s="2"/>
      <c r="AA21" s="2">
        <v>370</v>
      </c>
      <c r="AB21" s="2">
        <v>216</v>
      </c>
      <c r="AC21" s="2" t="s">
        <v>389</v>
      </c>
      <c r="AD21" s="2">
        <v>16000</v>
      </c>
      <c r="AE21" s="2">
        <v>1023</v>
      </c>
      <c r="AF21" s="2" t="s">
        <v>450</v>
      </c>
    </row>
    <row r="22" spans="1:32" x14ac:dyDescent="0.2">
      <c r="A22" s="2" t="str">
        <f t="shared" si="0"/>
        <v>WS-C2960XR-48TD-I</v>
      </c>
      <c r="B22" s="2" t="s">
        <v>130</v>
      </c>
      <c r="C22" s="2" t="s">
        <v>17</v>
      </c>
      <c r="D22" s="2" t="s">
        <v>128</v>
      </c>
      <c r="E22" s="2"/>
      <c r="F22" s="2" t="s">
        <v>352</v>
      </c>
      <c r="G22" s="2">
        <v>48</v>
      </c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>
        <v>2</v>
      </c>
      <c r="X22" s="2"/>
      <c r="Y22" s="2"/>
      <c r="Z22" s="2"/>
      <c r="AA22" s="2"/>
      <c r="AB22" s="2">
        <v>216</v>
      </c>
      <c r="AC22" s="2" t="s">
        <v>389</v>
      </c>
      <c r="AD22" s="2">
        <v>16000</v>
      </c>
      <c r="AE22" s="2">
        <v>1023</v>
      </c>
      <c r="AF22" s="2"/>
    </row>
    <row r="23" spans="1:32" x14ac:dyDescent="0.2">
      <c r="A23" s="2" t="str">
        <f t="shared" si="0"/>
        <v>WS-C2960XR-24TD-I</v>
      </c>
      <c r="B23" s="2" t="s">
        <v>130</v>
      </c>
      <c r="C23" s="2" t="s">
        <v>18</v>
      </c>
      <c r="D23" s="2" t="s">
        <v>128</v>
      </c>
      <c r="E23" s="2"/>
      <c r="F23" s="2" t="s">
        <v>352</v>
      </c>
      <c r="G23" s="2">
        <v>24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>
        <v>2</v>
      </c>
      <c r="X23" s="2"/>
      <c r="Y23" s="2"/>
      <c r="Z23" s="2"/>
      <c r="AA23" s="2"/>
      <c r="AB23" s="2">
        <v>216</v>
      </c>
      <c r="AC23" s="2" t="s">
        <v>389</v>
      </c>
      <c r="AD23" s="2">
        <v>16000</v>
      </c>
      <c r="AE23" s="2">
        <v>1023</v>
      </c>
      <c r="AF23" s="2"/>
    </row>
    <row r="24" spans="1:32" x14ac:dyDescent="0.2">
      <c r="A24" s="2" t="str">
        <f t="shared" si="0"/>
        <v>WS-C2960XR-48FPS-I</v>
      </c>
      <c r="B24" s="2" t="s">
        <v>130</v>
      </c>
      <c r="C24" s="2" t="s">
        <v>19</v>
      </c>
      <c r="D24" s="2" t="s">
        <v>128</v>
      </c>
      <c r="E24" s="2"/>
      <c r="F24" s="2" t="s">
        <v>352</v>
      </c>
      <c r="G24" s="2">
        <v>24</v>
      </c>
      <c r="H24" s="2"/>
      <c r="I24" s="2">
        <v>24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>
        <v>4</v>
      </c>
      <c r="V24" s="2"/>
      <c r="W24" s="2"/>
      <c r="X24" s="2"/>
      <c r="Y24" s="2"/>
      <c r="Z24" s="2"/>
      <c r="AA24" s="2">
        <v>740</v>
      </c>
      <c r="AB24" s="2">
        <v>216</v>
      </c>
      <c r="AC24" s="2" t="s">
        <v>389</v>
      </c>
      <c r="AD24" s="2">
        <v>16000</v>
      </c>
      <c r="AE24" s="2">
        <v>1023</v>
      </c>
      <c r="AF24" s="2" t="s">
        <v>449</v>
      </c>
    </row>
    <row r="25" spans="1:32" x14ac:dyDescent="0.2">
      <c r="A25" s="2" t="str">
        <f t="shared" si="0"/>
        <v>WS-C2960XR-48LPS-I</v>
      </c>
      <c r="B25" s="2" t="s">
        <v>130</v>
      </c>
      <c r="C25" s="2" t="s">
        <v>20</v>
      </c>
      <c r="D25" s="2" t="s">
        <v>128</v>
      </c>
      <c r="E25" s="2"/>
      <c r="F25" s="2" t="s">
        <v>352</v>
      </c>
      <c r="G25" s="2">
        <v>36</v>
      </c>
      <c r="H25" s="2"/>
      <c r="I25" s="2">
        <v>12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>
        <v>4</v>
      </c>
      <c r="V25" s="2"/>
      <c r="W25" s="2"/>
      <c r="X25" s="2"/>
      <c r="Y25" s="2"/>
      <c r="Z25" s="2"/>
      <c r="AA25" s="2">
        <v>370</v>
      </c>
      <c r="AB25" s="2">
        <v>216</v>
      </c>
      <c r="AC25" s="2" t="s">
        <v>389</v>
      </c>
      <c r="AD25" s="2">
        <v>16000</v>
      </c>
      <c r="AE25" s="2">
        <v>1023</v>
      </c>
      <c r="AF25" s="2" t="s">
        <v>450</v>
      </c>
    </row>
    <row r="26" spans="1:32" x14ac:dyDescent="0.2">
      <c r="A26" s="2" t="str">
        <f t="shared" si="0"/>
        <v>WS-C2960XR-24PS-I</v>
      </c>
      <c r="B26" s="2" t="s">
        <v>130</v>
      </c>
      <c r="C26" s="2" t="s">
        <v>21</v>
      </c>
      <c r="D26" s="2" t="s">
        <v>128</v>
      </c>
      <c r="E26" s="2"/>
      <c r="F26" s="2" t="s">
        <v>352</v>
      </c>
      <c r="G26" s="2">
        <v>12</v>
      </c>
      <c r="H26" s="2"/>
      <c r="I26" s="2">
        <v>12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>
        <v>4</v>
      </c>
      <c r="V26" s="2"/>
      <c r="W26" s="2"/>
      <c r="X26" s="2"/>
      <c r="Y26" s="2"/>
      <c r="Z26" s="2"/>
      <c r="AA26" s="2">
        <v>370</v>
      </c>
      <c r="AB26" s="2">
        <v>216</v>
      </c>
      <c r="AC26" s="2" t="s">
        <v>389</v>
      </c>
      <c r="AD26" s="2">
        <v>16000</v>
      </c>
      <c r="AE26" s="2">
        <v>1023</v>
      </c>
      <c r="AF26" s="2" t="s">
        <v>450</v>
      </c>
    </row>
    <row r="27" spans="1:32" x14ac:dyDescent="0.2">
      <c r="A27" s="2" t="str">
        <f t="shared" si="0"/>
        <v>WS-C2960XR-48TS-L</v>
      </c>
      <c r="B27" s="2" t="s">
        <v>130</v>
      </c>
      <c r="C27" s="2" t="s">
        <v>144</v>
      </c>
      <c r="D27" s="2" t="s">
        <v>128</v>
      </c>
      <c r="E27" s="2"/>
      <c r="F27" s="2" t="s">
        <v>352</v>
      </c>
      <c r="G27" s="2">
        <v>48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>
        <v>4</v>
      </c>
      <c r="V27" s="2"/>
      <c r="W27" s="2"/>
      <c r="X27" s="2"/>
      <c r="Y27" s="2"/>
      <c r="Z27" s="2"/>
      <c r="AA27" s="2"/>
      <c r="AB27" s="2">
        <v>216</v>
      </c>
      <c r="AC27" s="2" t="s">
        <v>389</v>
      </c>
      <c r="AD27" s="2">
        <v>16000</v>
      </c>
      <c r="AE27" s="2">
        <v>1023</v>
      </c>
      <c r="AF27" s="2" t="s">
        <v>452</v>
      </c>
    </row>
    <row r="28" spans="1:32" x14ac:dyDescent="0.2">
      <c r="A28" s="2" t="str">
        <f t="shared" si="0"/>
        <v>WS-C2960XR-48TS-I</v>
      </c>
      <c r="B28" s="2" t="s">
        <v>130</v>
      </c>
      <c r="C28" s="2" t="s">
        <v>22</v>
      </c>
      <c r="D28" s="2" t="s">
        <v>128</v>
      </c>
      <c r="E28" s="2"/>
      <c r="F28" s="2" t="s">
        <v>352</v>
      </c>
      <c r="G28" s="2">
        <v>48</v>
      </c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>
        <v>4</v>
      </c>
      <c r="V28" s="2"/>
      <c r="W28" s="2"/>
      <c r="X28" s="2"/>
      <c r="Y28" s="2"/>
      <c r="Z28" s="2"/>
      <c r="AA28" s="2"/>
      <c r="AB28" s="2">
        <v>216</v>
      </c>
      <c r="AC28" s="2" t="s">
        <v>389</v>
      </c>
      <c r="AD28" s="2">
        <v>16000</v>
      </c>
      <c r="AE28" s="2">
        <v>1023</v>
      </c>
      <c r="AF28" s="2"/>
    </row>
    <row r="29" spans="1:32" x14ac:dyDescent="0.2">
      <c r="A29" s="2" t="str">
        <f t="shared" si="0"/>
        <v>WS-C2960XR-24TS-I</v>
      </c>
      <c r="B29" s="2" t="s">
        <v>130</v>
      </c>
      <c r="C29" s="2" t="s">
        <v>23</v>
      </c>
      <c r="D29" s="2" t="s">
        <v>128</v>
      </c>
      <c r="E29" s="2"/>
      <c r="F29" s="2" t="s">
        <v>352</v>
      </c>
      <c r="G29" s="2">
        <v>24</v>
      </c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>
        <v>4</v>
      </c>
      <c r="V29" s="2"/>
      <c r="W29" s="2"/>
      <c r="X29" s="2"/>
      <c r="Y29" s="2"/>
      <c r="Z29" s="2"/>
      <c r="AA29" s="2"/>
      <c r="AB29" s="2">
        <v>216</v>
      </c>
      <c r="AC29" s="2" t="s">
        <v>389</v>
      </c>
      <c r="AD29" s="2">
        <v>16000</v>
      </c>
      <c r="AE29" s="2">
        <v>1023</v>
      </c>
      <c r="AF29" s="2"/>
    </row>
    <row r="30" spans="1:32" x14ac:dyDescent="0.2">
      <c r="A30" s="2" t="str">
        <f t="shared" si="0"/>
        <v>WS-C3650-24TS</v>
      </c>
      <c r="B30" s="2" t="s">
        <v>131</v>
      </c>
      <c r="C30" s="2" t="s">
        <v>24</v>
      </c>
      <c r="D30" s="2" t="s">
        <v>128</v>
      </c>
      <c r="E30" s="2"/>
      <c r="F30" s="2" t="s">
        <v>352</v>
      </c>
      <c r="G30" s="2">
        <v>24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>
        <v>4</v>
      </c>
      <c r="V30" s="2"/>
      <c r="W30" s="2"/>
      <c r="X30" s="2"/>
      <c r="Y30" s="2"/>
      <c r="Z30" s="2"/>
      <c r="AA30" s="2"/>
      <c r="AB30" s="2">
        <v>92</v>
      </c>
      <c r="AC30" s="2" t="s">
        <v>389</v>
      </c>
      <c r="AD30" s="2">
        <v>32000</v>
      </c>
      <c r="AE30" s="2">
        <v>4094</v>
      </c>
      <c r="AF30" s="2" t="s">
        <v>453</v>
      </c>
    </row>
    <row r="31" spans="1:32" x14ac:dyDescent="0.2">
      <c r="A31" s="2" t="str">
        <f t="shared" si="0"/>
        <v>WS-C3650-48TS</v>
      </c>
      <c r="B31" s="2" t="s">
        <v>131</v>
      </c>
      <c r="C31" s="2" t="s">
        <v>25</v>
      </c>
      <c r="D31" s="2" t="s">
        <v>128</v>
      </c>
      <c r="E31" s="2"/>
      <c r="F31" s="2" t="s">
        <v>352</v>
      </c>
      <c r="G31" s="2">
        <v>48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>
        <v>4</v>
      </c>
      <c r="V31" s="2"/>
      <c r="W31" s="2"/>
      <c r="X31" s="2"/>
      <c r="Y31" s="2"/>
      <c r="Z31" s="2"/>
      <c r="AA31" s="2"/>
      <c r="AB31" s="2">
        <v>176</v>
      </c>
      <c r="AC31" s="2" t="s">
        <v>389</v>
      </c>
      <c r="AD31" s="2">
        <v>32000</v>
      </c>
      <c r="AE31" s="2">
        <v>4094</v>
      </c>
      <c r="AF31" s="2" t="s">
        <v>453</v>
      </c>
    </row>
    <row r="32" spans="1:32" x14ac:dyDescent="0.2">
      <c r="A32" s="2" t="str">
        <f t="shared" si="0"/>
        <v>WS-C3650-24PS</v>
      </c>
      <c r="B32" s="2" t="s">
        <v>131</v>
      </c>
      <c r="C32" s="2" t="s">
        <v>26</v>
      </c>
      <c r="D32" s="2" t="s">
        <v>128</v>
      </c>
      <c r="E32" s="2"/>
      <c r="F32" s="2" t="s">
        <v>352</v>
      </c>
      <c r="G32" s="2"/>
      <c r="I32" s="2">
        <v>24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>
        <v>4</v>
      </c>
      <c r="V32" s="2"/>
      <c r="W32" s="2"/>
      <c r="X32" s="2"/>
      <c r="Y32" s="2"/>
      <c r="Z32" s="2"/>
      <c r="AA32" s="2">
        <v>390</v>
      </c>
      <c r="AB32" s="2">
        <v>92</v>
      </c>
      <c r="AC32" s="2" t="s">
        <v>389</v>
      </c>
      <c r="AD32" s="2">
        <v>32000</v>
      </c>
      <c r="AE32" s="2">
        <v>4094</v>
      </c>
      <c r="AF32" s="2" t="s">
        <v>453</v>
      </c>
    </row>
    <row r="33" spans="1:32" x14ac:dyDescent="0.2">
      <c r="A33" s="2" t="str">
        <f t="shared" si="0"/>
        <v>WS-C3650-48PS</v>
      </c>
      <c r="B33" s="2" t="s">
        <v>131</v>
      </c>
      <c r="C33" s="2" t="s">
        <v>27</v>
      </c>
      <c r="D33" s="2" t="s">
        <v>128</v>
      </c>
      <c r="E33" s="2"/>
      <c r="F33" s="2" t="s">
        <v>352</v>
      </c>
      <c r="G33" s="2"/>
      <c r="H33" s="2"/>
      <c r="I33" s="2">
        <v>48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>
        <v>4</v>
      </c>
      <c r="V33" s="2"/>
      <c r="W33" s="2"/>
      <c r="X33" s="2"/>
      <c r="Y33" s="2"/>
      <c r="Z33" s="2"/>
      <c r="AA33" s="2">
        <v>390</v>
      </c>
      <c r="AB33" s="2">
        <v>176</v>
      </c>
      <c r="AC33" s="2" t="s">
        <v>389</v>
      </c>
      <c r="AD33" s="2">
        <v>32000</v>
      </c>
      <c r="AE33" s="2">
        <v>4094</v>
      </c>
      <c r="AF33" s="2" t="s">
        <v>453</v>
      </c>
    </row>
    <row r="34" spans="1:32" x14ac:dyDescent="0.2">
      <c r="A34" s="2" t="str">
        <f t="shared" si="0"/>
        <v>WS-C3650-48FS</v>
      </c>
      <c r="B34" s="2" t="s">
        <v>131</v>
      </c>
      <c r="C34" s="2" t="s">
        <v>28</v>
      </c>
      <c r="D34" s="2" t="s">
        <v>128</v>
      </c>
      <c r="E34" s="2"/>
      <c r="F34" s="2" t="s">
        <v>352</v>
      </c>
      <c r="G34" s="2"/>
      <c r="H34" s="2"/>
      <c r="I34" s="2">
        <v>48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>
        <v>4</v>
      </c>
      <c r="V34" s="2"/>
      <c r="W34" s="2"/>
      <c r="X34" s="2"/>
      <c r="Y34" s="2"/>
      <c r="Z34" s="2"/>
      <c r="AA34" s="2">
        <v>775</v>
      </c>
      <c r="AB34" s="2">
        <v>176</v>
      </c>
      <c r="AC34" s="2" t="s">
        <v>389</v>
      </c>
      <c r="AD34" s="2">
        <v>32000</v>
      </c>
      <c r="AE34" s="2">
        <v>4094</v>
      </c>
      <c r="AF34" s="2" t="s">
        <v>453</v>
      </c>
    </row>
    <row r="35" spans="1:32" x14ac:dyDescent="0.2">
      <c r="A35" s="2" t="str">
        <f t="shared" si="0"/>
        <v>WS-C3650-24TD</v>
      </c>
      <c r="B35" s="2" t="s">
        <v>131</v>
      </c>
      <c r="C35" s="2" t="s">
        <v>29</v>
      </c>
      <c r="D35" s="2" t="s">
        <v>128</v>
      </c>
      <c r="E35" s="2"/>
      <c r="F35" s="2" t="s">
        <v>352</v>
      </c>
      <c r="G35" s="2">
        <v>24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>
        <v>2</v>
      </c>
      <c r="V35" s="2"/>
      <c r="W35" s="2">
        <v>2</v>
      </c>
      <c r="X35" s="2"/>
      <c r="Y35" s="2"/>
      <c r="Z35" s="2"/>
      <c r="AA35" s="2"/>
      <c r="AB35" s="2">
        <v>92</v>
      </c>
      <c r="AC35" s="2" t="s">
        <v>389</v>
      </c>
      <c r="AD35" s="2">
        <v>32000</v>
      </c>
      <c r="AE35" s="2">
        <v>4094</v>
      </c>
      <c r="AF35" s="2" t="s">
        <v>453</v>
      </c>
    </row>
    <row r="36" spans="1:32" x14ac:dyDescent="0.2">
      <c r="A36" s="2" t="str">
        <f t="shared" si="0"/>
        <v>WS-C3650-48TD</v>
      </c>
      <c r="B36" s="2" t="s">
        <v>131</v>
      </c>
      <c r="C36" s="2" t="s">
        <v>30</v>
      </c>
      <c r="D36" s="2" t="s">
        <v>128</v>
      </c>
      <c r="E36" s="2"/>
      <c r="F36" s="2" t="s">
        <v>352</v>
      </c>
      <c r="G36" s="2">
        <v>48</v>
      </c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>
        <v>2</v>
      </c>
      <c r="V36" s="2"/>
      <c r="W36" s="2">
        <v>2</v>
      </c>
      <c r="X36" s="2"/>
      <c r="Y36" s="2"/>
      <c r="Z36" s="2"/>
      <c r="AA36" s="2"/>
      <c r="AB36" s="2">
        <v>176</v>
      </c>
      <c r="AC36" s="2" t="s">
        <v>389</v>
      </c>
      <c r="AD36" s="2">
        <v>32000</v>
      </c>
      <c r="AE36" s="2">
        <v>4094</v>
      </c>
      <c r="AF36" s="2" t="s">
        <v>453</v>
      </c>
    </row>
    <row r="37" spans="1:32" x14ac:dyDescent="0.2">
      <c r="A37" s="2" t="str">
        <f t="shared" si="0"/>
        <v>WS-C3650-24PD</v>
      </c>
      <c r="B37" s="2" t="s">
        <v>131</v>
      </c>
      <c r="C37" s="2" t="s">
        <v>31</v>
      </c>
      <c r="D37" s="2" t="s">
        <v>128</v>
      </c>
      <c r="E37" s="2"/>
      <c r="F37" s="2" t="s">
        <v>352</v>
      </c>
      <c r="G37" s="2"/>
      <c r="H37" s="2"/>
      <c r="I37" s="2">
        <v>24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>
        <v>2</v>
      </c>
      <c r="V37" s="2"/>
      <c r="W37" s="2">
        <v>2</v>
      </c>
      <c r="X37" s="2"/>
      <c r="Y37" s="2"/>
      <c r="Z37" s="2"/>
      <c r="AA37" s="2">
        <v>390</v>
      </c>
      <c r="AB37" s="2">
        <v>92</v>
      </c>
      <c r="AC37" s="2" t="s">
        <v>389</v>
      </c>
      <c r="AD37" s="2">
        <v>32000</v>
      </c>
      <c r="AE37" s="2">
        <v>4094</v>
      </c>
      <c r="AF37" s="2" t="s">
        <v>453</v>
      </c>
    </row>
    <row r="38" spans="1:32" x14ac:dyDescent="0.2">
      <c r="A38" s="2" t="str">
        <f t="shared" si="0"/>
        <v>WS-C3650-24PDM</v>
      </c>
      <c r="B38" s="2" t="s">
        <v>131</v>
      </c>
      <c r="C38" s="2" t="s">
        <v>32</v>
      </c>
      <c r="D38" s="2" t="s">
        <v>128</v>
      </c>
      <c r="E38" s="2"/>
      <c r="F38" s="2" t="s">
        <v>352</v>
      </c>
      <c r="G38" s="2"/>
      <c r="H38" s="2"/>
      <c r="I38" s="2">
        <v>24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>
        <v>2</v>
      </c>
      <c r="V38" s="2"/>
      <c r="W38" s="2">
        <v>2</v>
      </c>
      <c r="X38" s="2"/>
      <c r="Y38" s="2"/>
      <c r="Z38" s="2"/>
      <c r="AA38" s="2">
        <v>390</v>
      </c>
      <c r="AB38" s="2">
        <v>92</v>
      </c>
      <c r="AC38" s="2" t="s">
        <v>389</v>
      </c>
      <c r="AD38" s="2">
        <v>32000</v>
      </c>
      <c r="AE38" s="2">
        <v>4094</v>
      </c>
      <c r="AF38" s="2" t="s">
        <v>453</v>
      </c>
    </row>
    <row r="39" spans="1:32" x14ac:dyDescent="0.2">
      <c r="A39" s="2" t="str">
        <f>IF(D39="Fixed",C39,C39&amp;"-"&amp;E39)</f>
        <v>WS-C3650-48PD</v>
      </c>
      <c r="B39" s="2" t="s">
        <v>131</v>
      </c>
      <c r="C39" s="2" t="s">
        <v>33</v>
      </c>
      <c r="D39" s="2" t="s">
        <v>128</v>
      </c>
      <c r="E39" s="2"/>
      <c r="F39" s="2" t="s">
        <v>352</v>
      </c>
      <c r="G39" s="2"/>
      <c r="H39" s="2"/>
      <c r="I39" s="2">
        <v>48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>
        <v>2</v>
      </c>
      <c r="V39" s="2"/>
      <c r="W39" s="2">
        <v>2</v>
      </c>
      <c r="X39" s="2"/>
      <c r="Y39" s="2"/>
      <c r="Z39" s="2"/>
      <c r="AA39" s="2">
        <v>390</v>
      </c>
      <c r="AB39" s="2">
        <v>176</v>
      </c>
      <c r="AC39" s="2" t="s">
        <v>389</v>
      </c>
      <c r="AD39" s="2">
        <v>32000</v>
      </c>
      <c r="AE39" s="2">
        <v>4094</v>
      </c>
      <c r="AF39" s="2" t="s">
        <v>453</v>
      </c>
    </row>
    <row r="40" spans="1:32" x14ac:dyDescent="0.2">
      <c r="A40" s="2" t="str">
        <f t="shared" si="0"/>
        <v>WS-C3650-48FD</v>
      </c>
      <c r="B40" s="2" t="s">
        <v>131</v>
      </c>
      <c r="C40" s="2" t="s">
        <v>34</v>
      </c>
      <c r="D40" s="2" t="s">
        <v>128</v>
      </c>
      <c r="E40" s="2"/>
      <c r="F40" s="2" t="s">
        <v>352</v>
      </c>
      <c r="G40" s="2"/>
      <c r="H40" s="2"/>
      <c r="I40" s="2">
        <v>48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>
        <v>2</v>
      </c>
      <c r="V40" s="2"/>
      <c r="W40" s="2">
        <v>2</v>
      </c>
      <c r="X40" s="2"/>
      <c r="Y40" s="2"/>
      <c r="Z40" s="2"/>
      <c r="AA40" s="2">
        <v>775</v>
      </c>
      <c r="AB40" s="2">
        <v>176</v>
      </c>
      <c r="AC40" s="2" t="s">
        <v>389</v>
      </c>
      <c r="AD40" s="2">
        <v>32000</v>
      </c>
      <c r="AE40" s="2">
        <v>4094</v>
      </c>
      <c r="AF40" s="2" t="s">
        <v>453</v>
      </c>
    </row>
    <row r="41" spans="1:32" x14ac:dyDescent="0.2">
      <c r="A41" s="2" t="str">
        <f t="shared" si="0"/>
        <v>WS-C3650-48TQ</v>
      </c>
      <c r="B41" s="2" t="s">
        <v>131</v>
      </c>
      <c r="C41" s="2" t="s">
        <v>35</v>
      </c>
      <c r="D41" s="2" t="s">
        <v>128</v>
      </c>
      <c r="E41" s="2"/>
      <c r="F41" s="2" t="s">
        <v>352</v>
      </c>
      <c r="G41" s="2">
        <v>48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>
        <v>4</v>
      </c>
      <c r="X41" s="2"/>
      <c r="Y41" s="2"/>
      <c r="Z41" s="2"/>
      <c r="AA41" s="2"/>
      <c r="AB41" s="2">
        <v>176</v>
      </c>
      <c r="AC41" s="2" t="s">
        <v>389</v>
      </c>
      <c r="AD41" s="2">
        <v>32000</v>
      </c>
      <c r="AE41" s="2">
        <v>4094</v>
      </c>
      <c r="AF41" s="2" t="s">
        <v>454</v>
      </c>
    </row>
    <row r="42" spans="1:32" x14ac:dyDescent="0.2">
      <c r="A42" s="2" t="str">
        <f t="shared" si="0"/>
        <v>WS-C3650-48PQ</v>
      </c>
      <c r="B42" s="2" t="s">
        <v>131</v>
      </c>
      <c r="C42" s="2" t="s">
        <v>36</v>
      </c>
      <c r="D42" s="2" t="s">
        <v>128</v>
      </c>
      <c r="E42" s="2"/>
      <c r="F42" s="2" t="s">
        <v>352</v>
      </c>
      <c r="G42" s="2"/>
      <c r="H42" s="2"/>
      <c r="I42" s="2">
        <v>48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>
        <v>4</v>
      </c>
      <c r="X42" s="2"/>
      <c r="Y42" s="2"/>
      <c r="Z42" s="2"/>
      <c r="AA42" s="2">
        <v>390</v>
      </c>
      <c r="AB42" s="2">
        <v>176</v>
      </c>
      <c r="AC42" s="2" t="s">
        <v>389</v>
      </c>
      <c r="AD42" s="2">
        <v>32000</v>
      </c>
      <c r="AE42" s="2">
        <v>4094</v>
      </c>
      <c r="AF42" s="2" t="s">
        <v>454</v>
      </c>
    </row>
    <row r="43" spans="1:32" x14ac:dyDescent="0.2">
      <c r="A43" s="2" t="str">
        <f t="shared" si="0"/>
        <v>WS-C3650-48FQM</v>
      </c>
      <c r="B43" s="2" t="s">
        <v>131</v>
      </c>
      <c r="C43" s="2" t="s">
        <v>37</v>
      </c>
      <c r="D43" s="2" t="s">
        <v>128</v>
      </c>
      <c r="E43" s="2"/>
      <c r="F43" s="2" t="s">
        <v>352</v>
      </c>
      <c r="G43" s="2"/>
      <c r="H43" s="2"/>
      <c r="I43" s="2">
        <v>48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>
        <v>4</v>
      </c>
      <c r="X43" s="2"/>
      <c r="Y43" s="2"/>
      <c r="Z43" s="2"/>
      <c r="AA43" s="2">
        <v>775</v>
      </c>
      <c r="AB43" s="2">
        <v>176</v>
      </c>
      <c r="AC43" s="2" t="s">
        <v>389</v>
      </c>
      <c r="AD43" s="2">
        <v>32000</v>
      </c>
      <c r="AE43" s="2">
        <v>4094</v>
      </c>
      <c r="AF43" s="2" t="s">
        <v>454</v>
      </c>
    </row>
    <row r="44" spans="1:32" x14ac:dyDescent="0.2">
      <c r="A44" s="2" t="str">
        <f t="shared" si="0"/>
        <v>WS-C3650-48FQ</v>
      </c>
      <c r="B44" s="2" t="s">
        <v>131</v>
      </c>
      <c r="C44" s="2" t="s">
        <v>38</v>
      </c>
      <c r="D44" s="2" t="s">
        <v>128</v>
      </c>
      <c r="E44" s="2"/>
      <c r="F44" s="2" t="s">
        <v>352</v>
      </c>
      <c r="G44" s="2"/>
      <c r="H44" s="2"/>
      <c r="I44" s="2">
        <v>48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>
        <v>4</v>
      </c>
      <c r="X44" s="2"/>
      <c r="Y44" s="2"/>
      <c r="Z44" s="2"/>
      <c r="AA44" s="2">
        <v>775</v>
      </c>
      <c r="AB44" s="2">
        <v>176</v>
      </c>
      <c r="AC44" s="2" t="s">
        <v>389</v>
      </c>
      <c r="AD44" s="2">
        <v>32000</v>
      </c>
      <c r="AE44" s="2">
        <v>4094</v>
      </c>
      <c r="AF44" s="2" t="s">
        <v>454</v>
      </c>
    </row>
    <row r="45" spans="1:32" x14ac:dyDescent="0.2">
      <c r="A45" s="2" t="str">
        <f t="shared" si="0"/>
        <v>WS-C3650-8X24UQ</v>
      </c>
      <c r="B45" s="2" t="s">
        <v>131</v>
      </c>
      <c r="C45" s="2" t="s">
        <v>39</v>
      </c>
      <c r="D45" s="2" t="s">
        <v>128</v>
      </c>
      <c r="E45" s="2"/>
      <c r="F45" s="2" t="s">
        <v>352</v>
      </c>
      <c r="G45" s="2"/>
      <c r="H45" s="2"/>
      <c r="I45" s="2"/>
      <c r="J45" s="2">
        <v>16</v>
      </c>
      <c r="K45" s="2"/>
      <c r="L45" s="2"/>
      <c r="M45" s="2"/>
      <c r="N45" s="2"/>
      <c r="O45" s="2">
        <v>8</v>
      </c>
      <c r="P45" s="2"/>
      <c r="Q45" s="2"/>
      <c r="R45" s="2"/>
      <c r="S45" s="2"/>
      <c r="T45" s="2"/>
      <c r="U45" s="2"/>
      <c r="V45" s="2"/>
      <c r="W45" s="2">
        <v>4</v>
      </c>
      <c r="X45" s="2"/>
      <c r="Y45" s="2"/>
      <c r="Z45" s="2"/>
      <c r="AA45" s="2">
        <v>820</v>
      </c>
      <c r="AB45" s="2">
        <v>272</v>
      </c>
      <c r="AC45" s="2" t="s">
        <v>389</v>
      </c>
      <c r="AD45" s="2">
        <v>32000</v>
      </c>
      <c r="AE45" s="2">
        <v>4094</v>
      </c>
      <c r="AF45" s="2" t="s">
        <v>454</v>
      </c>
    </row>
    <row r="46" spans="1:32" x14ac:dyDescent="0.2">
      <c r="A46" s="2" t="str">
        <f t="shared" si="0"/>
        <v>WS-C3650-12X48UQ</v>
      </c>
      <c r="B46" s="2" t="s">
        <v>131</v>
      </c>
      <c r="C46" s="2" t="s">
        <v>40</v>
      </c>
      <c r="D46" s="2" t="s">
        <v>128</v>
      </c>
      <c r="E46" s="2"/>
      <c r="F46" s="2" t="s">
        <v>352</v>
      </c>
      <c r="G46" s="2"/>
      <c r="H46" s="2"/>
      <c r="I46" s="2"/>
      <c r="J46" s="2">
        <v>36</v>
      </c>
      <c r="K46" s="2"/>
      <c r="L46" s="2"/>
      <c r="M46" s="2"/>
      <c r="N46" s="2"/>
      <c r="O46" s="2">
        <v>12</v>
      </c>
      <c r="P46" s="2"/>
      <c r="Q46" s="2"/>
      <c r="R46" s="2"/>
      <c r="S46" s="2"/>
      <c r="T46" s="2"/>
      <c r="U46" s="2"/>
      <c r="V46" s="2"/>
      <c r="W46" s="2">
        <v>4</v>
      </c>
      <c r="X46" s="2"/>
      <c r="Y46" s="2"/>
      <c r="Z46" s="2"/>
      <c r="AA46" s="2">
        <v>660</v>
      </c>
      <c r="AB46" s="2">
        <v>392</v>
      </c>
      <c r="AC46" s="2" t="s">
        <v>389</v>
      </c>
      <c r="AD46" s="2">
        <v>32000</v>
      </c>
      <c r="AE46" s="2">
        <v>4094</v>
      </c>
      <c r="AF46" s="2" t="s">
        <v>454</v>
      </c>
    </row>
    <row r="47" spans="1:32" x14ac:dyDescent="0.2">
      <c r="A47" s="2" t="str">
        <f t="shared" si="0"/>
        <v>WS-C3650-12X48UR</v>
      </c>
      <c r="B47" s="2" t="s">
        <v>131</v>
      </c>
      <c r="C47" s="2" t="s">
        <v>41</v>
      </c>
      <c r="D47" s="2" t="s">
        <v>128</v>
      </c>
      <c r="E47" s="2"/>
      <c r="F47" s="2" t="s">
        <v>352</v>
      </c>
      <c r="G47" s="2"/>
      <c r="H47" s="2"/>
      <c r="I47" s="2"/>
      <c r="J47" s="2">
        <v>36</v>
      </c>
      <c r="K47" s="2"/>
      <c r="L47" s="2"/>
      <c r="M47" s="2"/>
      <c r="N47" s="2"/>
      <c r="O47" s="2">
        <v>12</v>
      </c>
      <c r="P47" s="2"/>
      <c r="Q47" s="2"/>
      <c r="R47" s="2"/>
      <c r="S47" s="2"/>
      <c r="T47" s="2"/>
      <c r="U47" s="2"/>
      <c r="V47" s="2"/>
      <c r="W47" s="2">
        <v>8</v>
      </c>
      <c r="X47" s="2"/>
      <c r="Y47" s="2"/>
      <c r="Z47" s="2"/>
      <c r="AA47" s="2">
        <v>660</v>
      </c>
      <c r="AB47" s="2">
        <v>472</v>
      </c>
      <c r="AC47" s="2" t="s">
        <v>389</v>
      </c>
      <c r="AD47" s="2">
        <v>32000</v>
      </c>
      <c r="AE47" s="2">
        <v>4094</v>
      </c>
      <c r="AF47" s="2" t="s">
        <v>455</v>
      </c>
    </row>
    <row r="48" spans="1:32" x14ac:dyDescent="0.2">
      <c r="A48" s="2" t="str">
        <f t="shared" si="0"/>
        <v>WS-C3650-12X48UZ</v>
      </c>
      <c r="B48" s="2" t="s">
        <v>131</v>
      </c>
      <c r="C48" s="2" t="s">
        <v>42</v>
      </c>
      <c r="D48" s="2" t="s">
        <v>128</v>
      </c>
      <c r="E48" s="2"/>
      <c r="F48" s="2" t="s">
        <v>352</v>
      </c>
      <c r="G48" s="2"/>
      <c r="H48" s="2"/>
      <c r="I48" s="2"/>
      <c r="J48" s="2">
        <v>36</v>
      </c>
      <c r="K48" s="2"/>
      <c r="L48" s="2"/>
      <c r="M48" s="2"/>
      <c r="N48" s="2"/>
      <c r="O48" s="2">
        <v>12</v>
      </c>
      <c r="P48" s="2"/>
      <c r="Q48" s="2"/>
      <c r="R48" s="2"/>
      <c r="S48" s="2"/>
      <c r="T48" s="2"/>
      <c r="U48" s="2"/>
      <c r="V48" s="2"/>
      <c r="W48" s="2"/>
      <c r="X48" s="2"/>
      <c r="Y48" s="2">
        <v>2</v>
      </c>
      <c r="Z48" s="2"/>
      <c r="AA48" s="2">
        <v>660</v>
      </c>
      <c r="AB48" s="2">
        <v>472</v>
      </c>
      <c r="AC48" s="2" t="s">
        <v>389</v>
      </c>
      <c r="AD48" s="2">
        <v>32000</v>
      </c>
      <c r="AE48" s="2">
        <v>4094</v>
      </c>
      <c r="AF48" s="2" t="s">
        <v>453</v>
      </c>
    </row>
    <row r="49" spans="1:32" s="1" customFormat="1" x14ac:dyDescent="0.2">
      <c r="A49" s="4" t="str">
        <f t="shared" si="0"/>
        <v>WS-C3850-24T-C3850-NM-4-1G</v>
      </c>
      <c r="B49" s="4" t="s">
        <v>132</v>
      </c>
      <c r="C49" s="4" t="s">
        <v>43</v>
      </c>
      <c r="D49" s="4" t="s">
        <v>129</v>
      </c>
      <c r="E49" s="5" t="s">
        <v>165</v>
      </c>
      <c r="F49" s="5" t="s">
        <v>447</v>
      </c>
      <c r="G49" s="4">
        <v>24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>
        <v>4</v>
      </c>
      <c r="V49" s="4"/>
      <c r="W49" s="4"/>
      <c r="X49" s="4"/>
      <c r="Y49" s="4"/>
      <c r="Z49" s="4"/>
      <c r="AA49" s="2"/>
      <c r="AB49" s="4">
        <v>92</v>
      </c>
      <c r="AC49" s="2" t="s">
        <v>389</v>
      </c>
      <c r="AD49" s="2">
        <v>32000</v>
      </c>
      <c r="AE49" s="4">
        <v>1000</v>
      </c>
      <c r="AF49" s="4" t="s">
        <v>457</v>
      </c>
    </row>
    <row r="50" spans="1:32" s="1" customFormat="1" x14ac:dyDescent="0.2">
      <c r="A50" s="4" t="str">
        <f t="shared" ref="A50:A52" si="1">IF(D50="Fixed",C50,C50&amp;"-"&amp;E50)</f>
        <v>WS-C3850-24T-C3850-NM-2-10G</v>
      </c>
      <c r="B50" s="4" t="s">
        <v>132</v>
      </c>
      <c r="C50" s="4" t="s">
        <v>43</v>
      </c>
      <c r="D50" s="4" t="s">
        <v>129</v>
      </c>
      <c r="E50" s="5" t="s">
        <v>166</v>
      </c>
      <c r="F50" s="5" t="s">
        <v>447</v>
      </c>
      <c r="G50" s="4">
        <v>24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>
        <v>2</v>
      </c>
      <c r="X50" s="4"/>
      <c r="Y50" s="4"/>
      <c r="Z50" s="4"/>
      <c r="AA50" s="4"/>
      <c r="AB50" s="4">
        <v>92</v>
      </c>
      <c r="AC50" s="2" t="s">
        <v>389</v>
      </c>
      <c r="AD50" s="2">
        <v>32000</v>
      </c>
      <c r="AE50" s="4">
        <v>1000</v>
      </c>
      <c r="AF50" s="4" t="s">
        <v>457</v>
      </c>
    </row>
    <row r="51" spans="1:32" s="1" customFormat="1" x14ac:dyDescent="0.2">
      <c r="A51" s="4" t="str">
        <f t="shared" si="1"/>
        <v>WS-C3850-48T-C3850-NM-4-1G</v>
      </c>
      <c r="B51" s="4" t="s">
        <v>132</v>
      </c>
      <c r="C51" s="4" t="s">
        <v>44</v>
      </c>
      <c r="D51" s="4" t="s">
        <v>129</v>
      </c>
      <c r="E51" s="5" t="s">
        <v>165</v>
      </c>
      <c r="F51" s="5" t="s">
        <v>447</v>
      </c>
      <c r="G51" s="4">
        <v>48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>
        <v>4</v>
      </c>
      <c r="V51" s="4"/>
      <c r="W51" s="4"/>
      <c r="X51" s="4"/>
      <c r="Y51" s="4"/>
      <c r="Z51" s="4"/>
      <c r="AA51" s="4"/>
      <c r="AB51" s="4">
        <v>176</v>
      </c>
      <c r="AC51" s="2" t="s">
        <v>389</v>
      </c>
      <c r="AD51" s="2">
        <v>32000</v>
      </c>
      <c r="AE51" s="4">
        <v>1000</v>
      </c>
      <c r="AF51" s="4" t="s">
        <v>457</v>
      </c>
    </row>
    <row r="52" spans="1:32" s="1" customFormat="1" x14ac:dyDescent="0.2">
      <c r="A52" s="4" t="str">
        <f t="shared" si="1"/>
        <v>WS-C3850-48T-C3850-NM-2-10G</v>
      </c>
      <c r="B52" s="4" t="s">
        <v>132</v>
      </c>
      <c r="C52" s="4" t="s">
        <v>44</v>
      </c>
      <c r="D52" s="4" t="s">
        <v>129</v>
      </c>
      <c r="E52" s="5" t="s">
        <v>166</v>
      </c>
      <c r="F52" s="5" t="s">
        <v>447</v>
      </c>
      <c r="G52" s="4">
        <v>48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>
        <v>2</v>
      </c>
      <c r="X52" s="4"/>
      <c r="Y52" s="4"/>
      <c r="Z52" s="4"/>
      <c r="AA52" s="4"/>
      <c r="AB52" s="4">
        <v>176</v>
      </c>
      <c r="AC52" s="2" t="s">
        <v>389</v>
      </c>
      <c r="AD52" s="2">
        <v>32000</v>
      </c>
      <c r="AE52" s="4">
        <v>1000</v>
      </c>
      <c r="AF52" s="4" t="s">
        <v>457</v>
      </c>
    </row>
    <row r="53" spans="1:32" s="1" customFormat="1" x14ac:dyDescent="0.2">
      <c r="A53" s="4" t="str">
        <f t="shared" si="0"/>
        <v>WS-C3850-48T-C3850-NM-4-10G</v>
      </c>
      <c r="B53" s="4" t="s">
        <v>132</v>
      </c>
      <c r="C53" s="4" t="s">
        <v>44</v>
      </c>
      <c r="D53" s="4" t="s">
        <v>129</v>
      </c>
      <c r="E53" s="5" t="s">
        <v>167</v>
      </c>
      <c r="F53" s="5" t="s">
        <v>447</v>
      </c>
      <c r="G53" s="4">
        <v>48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>
        <v>4</v>
      </c>
      <c r="X53" s="4"/>
      <c r="Y53" s="4"/>
      <c r="Z53" s="4"/>
      <c r="AA53" s="4"/>
      <c r="AB53" s="4">
        <v>176</v>
      </c>
      <c r="AC53" s="2" t="s">
        <v>389</v>
      </c>
      <c r="AD53" s="2">
        <v>32000</v>
      </c>
      <c r="AE53" s="4">
        <v>1000</v>
      </c>
      <c r="AF53" s="4" t="s">
        <v>457</v>
      </c>
    </row>
    <row r="54" spans="1:32" s="1" customFormat="1" x14ac:dyDescent="0.2">
      <c r="A54" s="4" t="str">
        <f t="shared" si="0"/>
        <v>WS-C3850-24P-C3850-NM-4-1G</v>
      </c>
      <c r="B54" s="4" t="s">
        <v>132</v>
      </c>
      <c r="C54" s="4" t="s">
        <v>45</v>
      </c>
      <c r="D54" s="4" t="s">
        <v>129</v>
      </c>
      <c r="E54" s="5" t="s">
        <v>165</v>
      </c>
      <c r="F54" s="5" t="s">
        <v>447</v>
      </c>
      <c r="G54" s="4"/>
      <c r="H54" s="4"/>
      <c r="I54" s="4">
        <v>24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>
        <v>4</v>
      </c>
      <c r="V54" s="4"/>
      <c r="W54" s="4"/>
      <c r="X54" s="4"/>
      <c r="Y54" s="4"/>
      <c r="Z54" s="4"/>
      <c r="AA54" s="4">
        <v>435</v>
      </c>
      <c r="AB54" s="4">
        <v>92</v>
      </c>
      <c r="AC54" s="2" t="s">
        <v>389</v>
      </c>
      <c r="AD54" s="2">
        <v>32000</v>
      </c>
      <c r="AE54" s="4">
        <v>1000</v>
      </c>
      <c r="AF54" s="4" t="s">
        <v>458</v>
      </c>
    </row>
    <row r="55" spans="1:32" s="1" customFormat="1" x14ac:dyDescent="0.2">
      <c r="A55" s="4" t="str">
        <f t="shared" si="0"/>
        <v>WS-C3850-24P-C3850-NM-2-10G</v>
      </c>
      <c r="B55" s="4" t="s">
        <v>132</v>
      </c>
      <c r="C55" s="4" t="s">
        <v>45</v>
      </c>
      <c r="D55" s="4" t="s">
        <v>129</v>
      </c>
      <c r="E55" s="5" t="s">
        <v>166</v>
      </c>
      <c r="F55" s="5" t="s">
        <v>447</v>
      </c>
      <c r="G55" s="4"/>
      <c r="H55" s="4"/>
      <c r="I55" s="4">
        <v>24</v>
      </c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>
        <v>2</v>
      </c>
      <c r="X55" s="4"/>
      <c r="Y55" s="4"/>
      <c r="Z55" s="4"/>
      <c r="AA55" s="4">
        <v>435</v>
      </c>
      <c r="AB55" s="4">
        <v>92</v>
      </c>
      <c r="AC55" s="2" t="s">
        <v>389</v>
      </c>
      <c r="AD55" s="2">
        <v>32000</v>
      </c>
      <c r="AE55" s="4">
        <v>1000</v>
      </c>
      <c r="AF55" s="4" t="s">
        <v>458</v>
      </c>
    </row>
    <row r="56" spans="1:32" s="1" customFormat="1" x14ac:dyDescent="0.2">
      <c r="A56" s="4" t="str">
        <f t="shared" si="0"/>
        <v>WS-C3850-48P-C3850-NM-4-1G</v>
      </c>
      <c r="B56" s="4" t="s">
        <v>132</v>
      </c>
      <c r="C56" s="4" t="s">
        <v>46</v>
      </c>
      <c r="D56" s="4" t="s">
        <v>129</v>
      </c>
      <c r="E56" s="5" t="s">
        <v>165</v>
      </c>
      <c r="F56" s="5" t="s">
        <v>447</v>
      </c>
      <c r="G56" s="4"/>
      <c r="H56" s="4"/>
      <c r="I56" s="4">
        <v>48</v>
      </c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>
        <v>4</v>
      </c>
      <c r="V56" s="4"/>
      <c r="W56" s="4"/>
      <c r="X56" s="4"/>
      <c r="Y56" s="4"/>
      <c r="Z56" s="4"/>
      <c r="AA56" s="4">
        <v>435</v>
      </c>
      <c r="AB56" s="4">
        <v>176</v>
      </c>
      <c r="AC56" s="2" t="s">
        <v>389</v>
      </c>
      <c r="AD56" s="2">
        <v>32000</v>
      </c>
      <c r="AE56" s="4">
        <v>1000</v>
      </c>
      <c r="AF56" s="4" t="s">
        <v>458</v>
      </c>
    </row>
    <row r="57" spans="1:32" s="1" customFormat="1" x14ac:dyDescent="0.2">
      <c r="A57" s="4" t="str">
        <f t="shared" si="0"/>
        <v>WS-C3850-48P-C3850-NM-2-10G</v>
      </c>
      <c r="B57" s="4" t="s">
        <v>132</v>
      </c>
      <c r="C57" s="4" t="s">
        <v>46</v>
      </c>
      <c r="D57" s="4" t="s">
        <v>129</v>
      </c>
      <c r="E57" s="5" t="s">
        <v>166</v>
      </c>
      <c r="F57" s="5" t="s">
        <v>447</v>
      </c>
      <c r="G57" s="4"/>
      <c r="H57" s="4"/>
      <c r="I57" s="4">
        <v>48</v>
      </c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>
        <v>2</v>
      </c>
      <c r="X57" s="4"/>
      <c r="Y57" s="4"/>
      <c r="Z57" s="4"/>
      <c r="AA57" s="4">
        <v>435</v>
      </c>
      <c r="AB57" s="4">
        <v>176</v>
      </c>
      <c r="AC57" s="2" t="s">
        <v>389</v>
      </c>
      <c r="AD57" s="2">
        <v>32000</v>
      </c>
      <c r="AE57" s="4">
        <v>1000</v>
      </c>
      <c r="AF57" s="4" t="s">
        <v>458</v>
      </c>
    </row>
    <row r="58" spans="1:32" s="1" customFormat="1" x14ac:dyDescent="0.2">
      <c r="A58" s="4" t="str">
        <f t="shared" si="0"/>
        <v>WS-C3850-48P-C3850-NM-4-10G</v>
      </c>
      <c r="B58" s="4" t="s">
        <v>132</v>
      </c>
      <c r="C58" s="4" t="s">
        <v>46</v>
      </c>
      <c r="D58" s="4" t="s">
        <v>129</v>
      </c>
      <c r="E58" s="5" t="s">
        <v>167</v>
      </c>
      <c r="F58" s="5" t="s">
        <v>447</v>
      </c>
      <c r="G58" s="4"/>
      <c r="H58" s="4"/>
      <c r="I58" s="4">
        <v>48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>
        <v>4</v>
      </c>
      <c r="X58" s="4"/>
      <c r="Y58" s="4"/>
      <c r="Z58" s="4"/>
      <c r="AA58" s="4">
        <v>435</v>
      </c>
      <c r="AB58" s="4">
        <v>176</v>
      </c>
      <c r="AC58" s="2" t="s">
        <v>389</v>
      </c>
      <c r="AD58" s="2">
        <v>32000</v>
      </c>
      <c r="AE58" s="4">
        <v>1000</v>
      </c>
      <c r="AF58" s="4" t="s">
        <v>458</v>
      </c>
    </row>
    <row r="59" spans="1:32" s="1" customFormat="1" x14ac:dyDescent="0.2">
      <c r="A59" s="4" t="str">
        <f t="shared" si="0"/>
        <v>WS-C3850-48F-C3850-NM-4-1G</v>
      </c>
      <c r="B59" s="4" t="s">
        <v>132</v>
      </c>
      <c r="C59" s="4" t="s">
        <v>47</v>
      </c>
      <c r="D59" s="4" t="s">
        <v>129</v>
      </c>
      <c r="E59" s="5" t="s">
        <v>165</v>
      </c>
      <c r="F59" s="5" t="s">
        <v>447</v>
      </c>
      <c r="G59" s="4"/>
      <c r="H59" s="4"/>
      <c r="I59" s="4">
        <v>48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>
        <v>4</v>
      </c>
      <c r="V59" s="4"/>
      <c r="W59" s="4"/>
      <c r="X59" s="4"/>
      <c r="Y59" s="4"/>
      <c r="Z59" s="4"/>
      <c r="AA59" s="4">
        <v>800</v>
      </c>
      <c r="AB59" s="4">
        <v>176</v>
      </c>
      <c r="AC59" s="2" t="s">
        <v>389</v>
      </c>
      <c r="AD59" s="2">
        <v>32000</v>
      </c>
      <c r="AE59" s="4">
        <v>1000</v>
      </c>
      <c r="AF59" s="4" t="s">
        <v>458</v>
      </c>
    </row>
    <row r="60" spans="1:32" s="1" customFormat="1" x14ac:dyDescent="0.2">
      <c r="A60" s="4" t="str">
        <f t="shared" si="0"/>
        <v>WS-C3850-48F-C3850-NM-2-10G</v>
      </c>
      <c r="B60" s="4" t="s">
        <v>132</v>
      </c>
      <c r="C60" s="4" t="s">
        <v>47</v>
      </c>
      <c r="D60" s="4" t="s">
        <v>129</v>
      </c>
      <c r="E60" s="5" t="s">
        <v>166</v>
      </c>
      <c r="F60" s="5" t="s">
        <v>447</v>
      </c>
      <c r="G60" s="4"/>
      <c r="H60" s="4"/>
      <c r="I60" s="4">
        <v>48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>
        <v>2</v>
      </c>
      <c r="X60" s="4"/>
      <c r="Y60" s="4"/>
      <c r="Z60" s="4"/>
      <c r="AA60" s="4">
        <v>800</v>
      </c>
      <c r="AB60" s="4">
        <v>176</v>
      </c>
      <c r="AC60" s="2" t="s">
        <v>389</v>
      </c>
      <c r="AD60" s="2">
        <v>32000</v>
      </c>
      <c r="AE60" s="4">
        <v>1000</v>
      </c>
      <c r="AF60" s="4" t="s">
        <v>458</v>
      </c>
    </row>
    <row r="61" spans="1:32" s="1" customFormat="1" x14ac:dyDescent="0.2">
      <c r="A61" s="4" t="str">
        <f t="shared" si="0"/>
        <v>WS-C3850-48F-C3850-NM-4-10G</v>
      </c>
      <c r="B61" s="4" t="s">
        <v>132</v>
      </c>
      <c r="C61" s="4" t="s">
        <v>47</v>
      </c>
      <c r="D61" s="4" t="s">
        <v>129</v>
      </c>
      <c r="E61" s="5" t="s">
        <v>167</v>
      </c>
      <c r="F61" s="5" t="s">
        <v>447</v>
      </c>
      <c r="G61" s="4"/>
      <c r="H61" s="4"/>
      <c r="I61" s="4">
        <v>48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>
        <v>4</v>
      </c>
      <c r="X61" s="4"/>
      <c r="Y61" s="4"/>
      <c r="Z61" s="4"/>
      <c r="AA61" s="4">
        <v>800</v>
      </c>
      <c r="AB61" s="4">
        <v>176</v>
      </c>
      <c r="AC61" s="2" t="s">
        <v>389</v>
      </c>
      <c r="AD61" s="2">
        <v>32000</v>
      </c>
      <c r="AE61" s="4">
        <v>1000</v>
      </c>
      <c r="AF61" s="4" t="s">
        <v>458</v>
      </c>
    </row>
    <row r="62" spans="1:32" s="1" customFormat="1" x14ac:dyDescent="0.2">
      <c r="A62" s="4" t="str">
        <f t="shared" si="0"/>
        <v>WS-C3850-12S-C3850-NM-4-1G</v>
      </c>
      <c r="B62" s="4" t="s">
        <v>132</v>
      </c>
      <c r="C62" s="4" t="s">
        <v>48</v>
      </c>
      <c r="D62" s="4" t="s">
        <v>129</v>
      </c>
      <c r="E62" s="5" t="s">
        <v>165</v>
      </c>
      <c r="F62" s="5" t="s">
        <v>447</v>
      </c>
      <c r="G62" s="4"/>
      <c r="H62" s="4"/>
      <c r="I62" s="4"/>
      <c r="J62" s="4"/>
      <c r="K62" s="4"/>
      <c r="L62" s="4">
        <v>12</v>
      </c>
      <c r="M62" s="4"/>
      <c r="N62" s="4"/>
      <c r="O62" s="4"/>
      <c r="P62" s="4"/>
      <c r="Q62" s="4"/>
      <c r="R62" s="4"/>
      <c r="S62" s="4"/>
      <c r="T62" s="4"/>
      <c r="U62" s="4">
        <v>4</v>
      </c>
      <c r="V62" s="4"/>
      <c r="W62" s="4"/>
      <c r="X62" s="4"/>
      <c r="Y62" s="4"/>
      <c r="Z62" s="4"/>
      <c r="AA62" s="4"/>
      <c r="AB62" s="4">
        <v>68</v>
      </c>
      <c r="AC62" s="4" t="s">
        <v>389</v>
      </c>
      <c r="AD62" s="4">
        <v>32000</v>
      </c>
      <c r="AE62" s="4">
        <v>1000</v>
      </c>
      <c r="AF62" s="4" t="s">
        <v>457</v>
      </c>
    </row>
    <row r="63" spans="1:32" s="1" customFormat="1" x14ac:dyDescent="0.2">
      <c r="A63" s="4" t="str">
        <f t="shared" si="0"/>
        <v>WS-C3850-12S-C3850-NM-2-10G</v>
      </c>
      <c r="B63" s="4" t="s">
        <v>132</v>
      </c>
      <c r="C63" s="4" t="s">
        <v>48</v>
      </c>
      <c r="D63" s="4" t="s">
        <v>129</v>
      </c>
      <c r="E63" s="5" t="s">
        <v>166</v>
      </c>
      <c r="F63" s="5" t="s">
        <v>447</v>
      </c>
      <c r="G63" s="4"/>
      <c r="H63" s="4"/>
      <c r="I63" s="4"/>
      <c r="J63" s="4"/>
      <c r="K63" s="4"/>
      <c r="L63" s="4">
        <v>12</v>
      </c>
      <c r="M63" s="4"/>
      <c r="N63" s="4"/>
      <c r="O63" s="4"/>
      <c r="P63" s="4"/>
      <c r="Q63" s="4"/>
      <c r="R63" s="4"/>
      <c r="S63" s="4"/>
      <c r="T63" s="4"/>
      <c r="U63" s="4"/>
      <c r="V63" s="4"/>
      <c r="W63" s="4">
        <v>2</v>
      </c>
      <c r="X63" s="4"/>
      <c r="Y63" s="4"/>
      <c r="Z63" s="4"/>
      <c r="AA63" s="4"/>
      <c r="AB63" s="4">
        <v>68</v>
      </c>
      <c r="AC63" s="4" t="s">
        <v>389</v>
      </c>
      <c r="AD63" s="2">
        <v>32000</v>
      </c>
      <c r="AE63" s="4">
        <v>1000</v>
      </c>
      <c r="AF63" s="4" t="s">
        <v>457</v>
      </c>
    </row>
    <row r="64" spans="1:32" s="1" customFormat="1" x14ac:dyDescent="0.2">
      <c r="A64" s="4" t="str">
        <f t="shared" si="0"/>
        <v>WS-C3850-24S-C3850-NM-4-1G</v>
      </c>
      <c r="B64" s="4" t="s">
        <v>132</v>
      </c>
      <c r="C64" s="4" t="s">
        <v>49</v>
      </c>
      <c r="D64" s="4" t="s">
        <v>129</v>
      </c>
      <c r="E64" s="5" t="s">
        <v>165</v>
      </c>
      <c r="F64" s="5" t="s">
        <v>447</v>
      </c>
      <c r="G64" s="4"/>
      <c r="H64" s="4"/>
      <c r="I64" s="4"/>
      <c r="J64" s="4"/>
      <c r="K64" s="4"/>
      <c r="L64" s="4">
        <v>24</v>
      </c>
      <c r="M64" s="4"/>
      <c r="N64" s="4"/>
      <c r="O64" s="4"/>
      <c r="P64" s="4"/>
      <c r="Q64" s="4"/>
      <c r="R64" s="4"/>
      <c r="S64" s="4"/>
      <c r="T64" s="4"/>
      <c r="U64" s="4">
        <v>4</v>
      </c>
      <c r="V64" s="4"/>
      <c r="W64" s="4"/>
      <c r="X64" s="4"/>
      <c r="Y64" s="4"/>
      <c r="Z64" s="4"/>
      <c r="AA64" s="4"/>
      <c r="AB64" s="4">
        <v>68</v>
      </c>
      <c r="AC64" s="4" t="s">
        <v>389</v>
      </c>
      <c r="AD64" s="2">
        <v>32000</v>
      </c>
      <c r="AE64" s="4">
        <v>1000</v>
      </c>
      <c r="AF64" s="4" t="s">
        <v>457</v>
      </c>
    </row>
    <row r="65" spans="1:32" s="1" customFormat="1" x14ac:dyDescent="0.2">
      <c r="A65" s="4" t="str">
        <f t="shared" si="0"/>
        <v>WS-C3850-24S-C3850-NM-2-10G</v>
      </c>
      <c r="B65" s="4" t="s">
        <v>132</v>
      </c>
      <c r="C65" s="4" t="s">
        <v>49</v>
      </c>
      <c r="D65" s="4" t="s">
        <v>129</v>
      </c>
      <c r="E65" s="5" t="s">
        <v>166</v>
      </c>
      <c r="F65" s="5" t="s">
        <v>447</v>
      </c>
      <c r="G65" s="4"/>
      <c r="H65" s="4"/>
      <c r="I65" s="4"/>
      <c r="J65" s="4"/>
      <c r="K65" s="4"/>
      <c r="L65" s="4">
        <v>24</v>
      </c>
      <c r="M65" s="4"/>
      <c r="N65" s="4"/>
      <c r="O65" s="4"/>
      <c r="P65" s="4"/>
      <c r="Q65" s="4"/>
      <c r="R65" s="4"/>
      <c r="S65" s="4"/>
      <c r="T65" s="4"/>
      <c r="U65" s="4"/>
      <c r="V65" s="4"/>
      <c r="W65" s="4">
        <v>2</v>
      </c>
      <c r="X65" s="4"/>
      <c r="Y65" s="4"/>
      <c r="Z65" s="4"/>
      <c r="AA65" s="4"/>
      <c r="AB65" s="4">
        <v>68</v>
      </c>
      <c r="AC65" s="4" t="s">
        <v>389</v>
      </c>
      <c r="AD65" s="2">
        <v>32000</v>
      </c>
      <c r="AE65" s="4">
        <v>1000</v>
      </c>
      <c r="AF65" s="4" t="s">
        <v>457</v>
      </c>
    </row>
    <row r="66" spans="1:32" s="1" customFormat="1" x14ac:dyDescent="0.2">
      <c r="A66" s="4" t="str">
        <f t="shared" si="0"/>
        <v>WS-C3850-24U-C3850-NM-4-1G</v>
      </c>
      <c r="B66" s="4" t="s">
        <v>132</v>
      </c>
      <c r="C66" s="4" t="s">
        <v>50</v>
      </c>
      <c r="D66" s="4" t="s">
        <v>129</v>
      </c>
      <c r="E66" s="5" t="s">
        <v>165</v>
      </c>
      <c r="F66" s="5" t="s">
        <v>447</v>
      </c>
      <c r="G66" s="4"/>
      <c r="H66" s="4"/>
      <c r="I66" s="4"/>
      <c r="J66" s="4">
        <v>24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>
        <v>4</v>
      </c>
      <c r="V66" s="4"/>
      <c r="W66" s="4"/>
      <c r="X66" s="4"/>
      <c r="Y66" s="4"/>
      <c r="Z66" s="4"/>
      <c r="AA66" s="4">
        <v>800</v>
      </c>
      <c r="AB66" s="4">
        <v>92</v>
      </c>
      <c r="AC66" s="4" t="s">
        <v>389</v>
      </c>
      <c r="AD66" s="4">
        <v>32000</v>
      </c>
      <c r="AE66" s="4">
        <v>1000</v>
      </c>
      <c r="AF66" s="4" t="s">
        <v>458</v>
      </c>
    </row>
    <row r="67" spans="1:32" s="1" customFormat="1" x14ac:dyDescent="0.2">
      <c r="A67" s="4" t="str">
        <f t="shared" si="0"/>
        <v>WS-C3850-24U-C3850-NM-2-10G</v>
      </c>
      <c r="B67" s="4" t="s">
        <v>132</v>
      </c>
      <c r="C67" s="4" t="s">
        <v>50</v>
      </c>
      <c r="D67" s="4" t="s">
        <v>129</v>
      </c>
      <c r="E67" s="5" t="s">
        <v>166</v>
      </c>
      <c r="F67" s="5" t="s">
        <v>447</v>
      </c>
      <c r="G67" s="4"/>
      <c r="H67" s="4"/>
      <c r="I67" s="4"/>
      <c r="J67" s="4">
        <v>24</v>
      </c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>
        <v>2</v>
      </c>
      <c r="X67" s="4"/>
      <c r="Y67" s="4"/>
      <c r="Z67" s="4"/>
      <c r="AA67" s="4">
        <v>800</v>
      </c>
      <c r="AB67" s="4">
        <v>92</v>
      </c>
      <c r="AC67" s="4" t="s">
        <v>389</v>
      </c>
      <c r="AD67" s="2">
        <v>32000</v>
      </c>
      <c r="AE67" s="4">
        <v>1000</v>
      </c>
      <c r="AF67" s="4" t="s">
        <v>458</v>
      </c>
    </row>
    <row r="68" spans="1:32" s="1" customFormat="1" x14ac:dyDescent="0.2">
      <c r="A68" s="4" t="str">
        <f t="shared" si="0"/>
        <v>WS-C3850-48U-C3850-NM-4-1G</v>
      </c>
      <c r="B68" s="4" t="s">
        <v>132</v>
      </c>
      <c r="C68" s="4" t="s">
        <v>51</v>
      </c>
      <c r="D68" s="4" t="s">
        <v>129</v>
      </c>
      <c r="E68" s="5" t="s">
        <v>165</v>
      </c>
      <c r="F68" s="5" t="s">
        <v>447</v>
      </c>
      <c r="G68" s="4"/>
      <c r="H68" s="4"/>
      <c r="I68" s="4"/>
      <c r="J68" s="4">
        <v>48</v>
      </c>
      <c r="K68" s="4"/>
      <c r="L68" s="4"/>
      <c r="M68" s="4"/>
      <c r="N68" s="4"/>
      <c r="O68" s="4"/>
      <c r="P68" s="4"/>
      <c r="Q68" s="4"/>
      <c r="R68" s="4"/>
      <c r="S68" s="4"/>
      <c r="T68" s="4"/>
      <c r="U68" s="4">
        <v>4</v>
      </c>
      <c r="V68" s="4"/>
      <c r="W68" s="4"/>
      <c r="X68" s="4"/>
      <c r="Y68" s="4"/>
      <c r="Z68" s="4"/>
      <c r="AA68" s="4">
        <v>800</v>
      </c>
      <c r="AB68" s="4">
        <v>176</v>
      </c>
      <c r="AC68" s="4" t="s">
        <v>389</v>
      </c>
      <c r="AD68" s="2">
        <v>32000</v>
      </c>
      <c r="AE68" s="4">
        <v>1000</v>
      </c>
      <c r="AF68" s="4" t="s">
        <v>458</v>
      </c>
    </row>
    <row r="69" spans="1:32" s="1" customFormat="1" x14ac:dyDescent="0.2">
      <c r="A69" s="4" t="str">
        <f t="shared" si="0"/>
        <v>WS-C3850-48U-C3850-NM-2-10G</v>
      </c>
      <c r="B69" s="4" t="s">
        <v>132</v>
      </c>
      <c r="C69" s="4" t="s">
        <v>51</v>
      </c>
      <c r="D69" s="4" t="s">
        <v>129</v>
      </c>
      <c r="E69" s="5" t="s">
        <v>166</v>
      </c>
      <c r="F69" s="5" t="s">
        <v>447</v>
      </c>
      <c r="G69" s="4"/>
      <c r="H69" s="4"/>
      <c r="I69" s="4"/>
      <c r="J69" s="4">
        <v>48</v>
      </c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>
        <v>2</v>
      </c>
      <c r="X69" s="4"/>
      <c r="Y69" s="4"/>
      <c r="Z69" s="4"/>
      <c r="AA69" s="4">
        <v>800</v>
      </c>
      <c r="AB69" s="4">
        <v>176</v>
      </c>
      <c r="AC69" s="4" t="s">
        <v>389</v>
      </c>
      <c r="AD69" s="2">
        <v>32000</v>
      </c>
      <c r="AE69" s="4">
        <v>1000</v>
      </c>
      <c r="AF69" s="4" t="s">
        <v>458</v>
      </c>
    </row>
    <row r="70" spans="1:32" s="1" customFormat="1" x14ac:dyDescent="0.2">
      <c r="A70" s="4" t="str">
        <f t="shared" si="0"/>
        <v>WS-C3850-48U-C3850-NM-4-10G</v>
      </c>
      <c r="B70" s="4" t="s">
        <v>132</v>
      </c>
      <c r="C70" s="4" t="s">
        <v>51</v>
      </c>
      <c r="D70" s="4" t="s">
        <v>129</v>
      </c>
      <c r="E70" s="5" t="s">
        <v>167</v>
      </c>
      <c r="F70" s="5" t="s">
        <v>447</v>
      </c>
      <c r="G70" s="4"/>
      <c r="H70" s="4"/>
      <c r="I70" s="4"/>
      <c r="J70" s="4">
        <v>48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>
        <v>4</v>
      </c>
      <c r="X70" s="4"/>
      <c r="Y70" s="4"/>
      <c r="Z70" s="4"/>
      <c r="AA70" s="4">
        <v>800</v>
      </c>
      <c r="AB70" s="4">
        <v>176</v>
      </c>
      <c r="AC70" s="4" t="s">
        <v>389</v>
      </c>
      <c r="AD70" s="2">
        <v>32000</v>
      </c>
      <c r="AE70" s="4">
        <v>1000</v>
      </c>
      <c r="AF70" s="4" t="s">
        <v>458</v>
      </c>
    </row>
    <row r="71" spans="1:32" s="1" customFormat="1" x14ac:dyDescent="0.2">
      <c r="A71" s="4" t="str">
        <f t="shared" si="0"/>
        <v>WS-C3850-24XU-C3850-NM-4-1G</v>
      </c>
      <c r="B71" s="4" t="s">
        <v>132</v>
      </c>
      <c r="C71" s="4" t="s">
        <v>52</v>
      </c>
      <c r="D71" s="4" t="s">
        <v>129</v>
      </c>
      <c r="E71" s="5" t="s">
        <v>165</v>
      </c>
      <c r="F71" s="5" t="s">
        <v>447</v>
      </c>
      <c r="G71" s="4"/>
      <c r="H71" s="4"/>
      <c r="I71" s="4"/>
      <c r="J71" s="4"/>
      <c r="K71" s="4"/>
      <c r="L71" s="4"/>
      <c r="M71" s="4"/>
      <c r="N71" s="4"/>
      <c r="O71" s="4">
        <v>24</v>
      </c>
      <c r="P71" s="4"/>
      <c r="Q71" s="4"/>
      <c r="R71" s="4"/>
      <c r="S71" s="4"/>
      <c r="T71" s="4"/>
      <c r="U71" s="4">
        <v>4</v>
      </c>
      <c r="V71" s="4"/>
      <c r="W71" s="4"/>
      <c r="X71" s="4"/>
      <c r="Y71" s="4"/>
      <c r="Z71" s="4"/>
      <c r="AA71" s="4">
        <v>580</v>
      </c>
      <c r="AB71" s="4">
        <v>640</v>
      </c>
      <c r="AC71" s="4" t="s">
        <v>389</v>
      </c>
      <c r="AD71" s="2">
        <v>32000</v>
      </c>
      <c r="AE71" s="4">
        <v>1000</v>
      </c>
      <c r="AF71" s="4" t="s">
        <v>458</v>
      </c>
    </row>
    <row r="72" spans="1:32" s="1" customFormat="1" x14ac:dyDescent="0.2">
      <c r="A72" s="4" t="str">
        <f t="shared" si="0"/>
        <v>WS-C3850-24XU-C3850-NM-2-10G</v>
      </c>
      <c r="B72" s="4" t="s">
        <v>132</v>
      </c>
      <c r="C72" s="4" t="s">
        <v>52</v>
      </c>
      <c r="D72" s="4" t="s">
        <v>129</v>
      </c>
      <c r="E72" s="5" t="s">
        <v>166</v>
      </c>
      <c r="F72" s="5" t="s">
        <v>447</v>
      </c>
      <c r="G72" s="4"/>
      <c r="H72" s="4"/>
      <c r="I72" s="4"/>
      <c r="J72" s="4"/>
      <c r="K72" s="4"/>
      <c r="L72" s="4"/>
      <c r="M72" s="4"/>
      <c r="N72" s="4"/>
      <c r="O72" s="4">
        <v>24</v>
      </c>
      <c r="P72" s="4"/>
      <c r="Q72" s="4"/>
      <c r="R72" s="4"/>
      <c r="S72" s="4"/>
      <c r="T72" s="4"/>
      <c r="U72" s="4"/>
      <c r="V72" s="4"/>
      <c r="W72" s="4">
        <v>2</v>
      </c>
      <c r="X72" s="4"/>
      <c r="Y72" s="4"/>
      <c r="Z72" s="4"/>
      <c r="AA72" s="4">
        <v>580</v>
      </c>
      <c r="AB72" s="4">
        <v>640</v>
      </c>
      <c r="AC72" s="4" t="s">
        <v>389</v>
      </c>
      <c r="AD72" s="2">
        <v>32000</v>
      </c>
      <c r="AE72" s="4">
        <v>1000</v>
      </c>
      <c r="AF72" s="4" t="s">
        <v>458</v>
      </c>
    </row>
    <row r="73" spans="1:32" s="1" customFormat="1" x14ac:dyDescent="0.2">
      <c r="A73" s="4" t="str">
        <f t="shared" si="0"/>
        <v>WS-C3850-24XU-C3850-NM-4-10G</v>
      </c>
      <c r="B73" s="4" t="s">
        <v>132</v>
      </c>
      <c r="C73" s="4" t="s">
        <v>52</v>
      </c>
      <c r="D73" s="4" t="s">
        <v>129</v>
      </c>
      <c r="E73" s="5" t="s">
        <v>167</v>
      </c>
      <c r="F73" s="5" t="s">
        <v>447</v>
      </c>
      <c r="G73" s="4"/>
      <c r="H73" s="4"/>
      <c r="I73" s="4"/>
      <c r="J73" s="4"/>
      <c r="K73" s="4"/>
      <c r="L73" s="4"/>
      <c r="M73" s="4"/>
      <c r="N73" s="4"/>
      <c r="O73" s="4">
        <v>24</v>
      </c>
      <c r="P73" s="4"/>
      <c r="Q73" s="4"/>
      <c r="R73" s="4"/>
      <c r="S73" s="4"/>
      <c r="T73" s="4"/>
      <c r="U73" s="4"/>
      <c r="V73" s="4"/>
      <c r="W73" s="4">
        <v>4</v>
      </c>
      <c r="X73" s="4"/>
      <c r="Y73" s="4"/>
      <c r="Z73" s="4"/>
      <c r="AA73" s="4">
        <v>580</v>
      </c>
      <c r="AB73" s="4">
        <v>640</v>
      </c>
      <c r="AC73" s="4" t="s">
        <v>389</v>
      </c>
      <c r="AD73" s="2">
        <v>32000</v>
      </c>
      <c r="AE73" s="4">
        <v>1000</v>
      </c>
      <c r="AF73" s="4" t="s">
        <v>458</v>
      </c>
    </row>
    <row r="74" spans="1:32" s="1" customFormat="1" x14ac:dyDescent="0.2">
      <c r="A74" s="4" t="str">
        <f t="shared" si="0"/>
        <v>WS-C3850-24XU-C3850-NM-8-10G</v>
      </c>
      <c r="B74" s="4" t="s">
        <v>132</v>
      </c>
      <c r="C74" s="4" t="s">
        <v>52</v>
      </c>
      <c r="D74" s="4" t="s">
        <v>129</v>
      </c>
      <c r="E74" s="5" t="s">
        <v>168</v>
      </c>
      <c r="F74" s="5" t="s">
        <v>447</v>
      </c>
      <c r="G74" s="4"/>
      <c r="H74" s="4"/>
      <c r="I74" s="4"/>
      <c r="J74" s="4"/>
      <c r="K74" s="4"/>
      <c r="L74" s="4"/>
      <c r="M74" s="4"/>
      <c r="N74" s="4"/>
      <c r="O74" s="4">
        <v>24</v>
      </c>
      <c r="P74" s="4"/>
      <c r="Q74" s="4"/>
      <c r="R74" s="4"/>
      <c r="S74" s="4"/>
      <c r="T74" s="4"/>
      <c r="U74" s="4"/>
      <c r="V74" s="4"/>
      <c r="W74" s="4">
        <v>8</v>
      </c>
      <c r="X74" s="4"/>
      <c r="Y74" s="4"/>
      <c r="Z74" s="4"/>
      <c r="AA74" s="4">
        <v>580</v>
      </c>
      <c r="AB74" s="4">
        <v>640</v>
      </c>
      <c r="AC74" s="4" t="s">
        <v>389</v>
      </c>
      <c r="AD74" s="2">
        <v>32000</v>
      </c>
      <c r="AE74" s="4">
        <v>1000</v>
      </c>
      <c r="AF74" s="4" t="s">
        <v>458</v>
      </c>
    </row>
    <row r="75" spans="1:32" s="1" customFormat="1" x14ac:dyDescent="0.2">
      <c r="A75" s="4" t="str">
        <f t="shared" si="0"/>
        <v>WS-C3850-24XU-C3850-NM-2-40G</v>
      </c>
      <c r="B75" s="4" t="s">
        <v>132</v>
      </c>
      <c r="C75" s="4" t="s">
        <v>52</v>
      </c>
      <c r="D75" s="4" t="s">
        <v>129</v>
      </c>
      <c r="E75" s="5" t="s">
        <v>169</v>
      </c>
      <c r="F75" s="5" t="s">
        <v>447</v>
      </c>
      <c r="G75" s="4"/>
      <c r="H75" s="4"/>
      <c r="I75" s="4"/>
      <c r="J75" s="4"/>
      <c r="K75" s="4"/>
      <c r="L75" s="4"/>
      <c r="M75" s="4"/>
      <c r="N75" s="4"/>
      <c r="O75" s="4">
        <v>24</v>
      </c>
      <c r="P75" s="4"/>
      <c r="Q75" s="4"/>
      <c r="R75" s="4"/>
      <c r="S75" s="4"/>
      <c r="T75" s="4"/>
      <c r="U75" s="4"/>
      <c r="V75" s="4"/>
      <c r="W75" s="4"/>
      <c r="X75" s="4"/>
      <c r="Y75" s="4">
        <v>2</v>
      </c>
      <c r="Z75" s="4"/>
      <c r="AA75" s="4">
        <v>580</v>
      </c>
      <c r="AB75" s="4">
        <v>640</v>
      </c>
      <c r="AC75" s="4" t="s">
        <v>389</v>
      </c>
      <c r="AD75" s="2">
        <v>32000</v>
      </c>
      <c r="AE75" s="4">
        <v>1000</v>
      </c>
      <c r="AF75" s="4" t="s">
        <v>458</v>
      </c>
    </row>
    <row r="76" spans="1:32" s="1" customFormat="1" x14ac:dyDescent="0.2">
      <c r="A76" s="4" t="str">
        <f t="shared" si="0"/>
        <v>WS-C3850-12X48U-C3850-NM-4-1G</v>
      </c>
      <c r="B76" s="4" t="s">
        <v>132</v>
      </c>
      <c r="C76" s="4" t="s">
        <v>53</v>
      </c>
      <c r="D76" s="4" t="s">
        <v>129</v>
      </c>
      <c r="E76" s="5" t="s">
        <v>165</v>
      </c>
      <c r="F76" s="5" t="s">
        <v>447</v>
      </c>
      <c r="G76" s="4"/>
      <c r="H76" s="4"/>
      <c r="I76" s="4"/>
      <c r="J76" s="4">
        <v>36</v>
      </c>
      <c r="K76" s="4"/>
      <c r="L76" s="4"/>
      <c r="M76" s="4"/>
      <c r="N76" s="4"/>
      <c r="O76" s="4">
        <v>12</v>
      </c>
      <c r="P76" s="4"/>
      <c r="Q76" s="4"/>
      <c r="R76" s="4"/>
      <c r="S76" s="4"/>
      <c r="T76" s="4"/>
      <c r="U76" s="4">
        <v>4</v>
      </c>
      <c r="V76" s="4"/>
      <c r="W76" s="4"/>
      <c r="X76" s="4"/>
      <c r="Y76" s="4"/>
      <c r="Z76" s="4"/>
      <c r="AA76" s="4">
        <v>630</v>
      </c>
      <c r="AB76" s="4">
        <v>472</v>
      </c>
      <c r="AC76" s="4" t="s">
        <v>389</v>
      </c>
      <c r="AD76" s="2">
        <v>32000</v>
      </c>
      <c r="AE76" s="4">
        <v>1000</v>
      </c>
      <c r="AF76" s="4" t="s">
        <v>458</v>
      </c>
    </row>
    <row r="77" spans="1:32" s="1" customFormat="1" x14ac:dyDescent="0.2">
      <c r="A77" s="4" t="str">
        <f t="shared" si="0"/>
        <v>WS-C3850-12X48U-C3850-NM-2-10G</v>
      </c>
      <c r="B77" s="4" t="s">
        <v>132</v>
      </c>
      <c r="C77" s="4" t="s">
        <v>53</v>
      </c>
      <c r="D77" s="4" t="s">
        <v>129</v>
      </c>
      <c r="E77" s="5" t="s">
        <v>166</v>
      </c>
      <c r="F77" s="5" t="s">
        <v>447</v>
      </c>
      <c r="G77" s="4"/>
      <c r="H77" s="4"/>
      <c r="I77" s="4"/>
      <c r="J77" s="4">
        <v>36</v>
      </c>
      <c r="K77" s="4"/>
      <c r="L77" s="4"/>
      <c r="M77" s="4"/>
      <c r="N77" s="4"/>
      <c r="O77" s="4">
        <v>12</v>
      </c>
      <c r="P77" s="4"/>
      <c r="Q77" s="4"/>
      <c r="R77" s="4"/>
      <c r="S77" s="4"/>
      <c r="T77" s="4"/>
      <c r="U77" s="4"/>
      <c r="V77" s="4"/>
      <c r="W77" s="4">
        <v>2</v>
      </c>
      <c r="X77" s="4"/>
      <c r="Y77" s="4"/>
      <c r="Z77" s="4"/>
      <c r="AA77" s="4">
        <v>630</v>
      </c>
      <c r="AB77" s="4">
        <v>472</v>
      </c>
      <c r="AC77" s="4" t="s">
        <v>389</v>
      </c>
      <c r="AD77" s="2">
        <v>32000</v>
      </c>
      <c r="AE77" s="4">
        <v>1000</v>
      </c>
      <c r="AF77" s="4" t="s">
        <v>458</v>
      </c>
    </row>
    <row r="78" spans="1:32" s="1" customFormat="1" x14ac:dyDescent="0.2">
      <c r="A78" s="4" t="str">
        <f t="shared" si="0"/>
        <v>WS-C3850-12X48U-C3850-NM-4-10G</v>
      </c>
      <c r="B78" s="4" t="s">
        <v>132</v>
      </c>
      <c r="C78" s="4" t="s">
        <v>53</v>
      </c>
      <c r="D78" s="4" t="s">
        <v>129</v>
      </c>
      <c r="E78" s="5" t="s">
        <v>167</v>
      </c>
      <c r="F78" s="5" t="s">
        <v>447</v>
      </c>
      <c r="G78" s="4"/>
      <c r="H78" s="4"/>
      <c r="I78" s="4"/>
      <c r="J78" s="4">
        <v>36</v>
      </c>
      <c r="K78" s="4"/>
      <c r="L78" s="4"/>
      <c r="M78" s="4"/>
      <c r="N78" s="4"/>
      <c r="O78" s="4">
        <v>12</v>
      </c>
      <c r="P78" s="4"/>
      <c r="Q78" s="4"/>
      <c r="R78" s="4"/>
      <c r="S78" s="4"/>
      <c r="T78" s="4"/>
      <c r="U78" s="4"/>
      <c r="V78" s="4"/>
      <c r="W78" s="4">
        <v>4</v>
      </c>
      <c r="X78" s="4"/>
      <c r="Y78" s="4"/>
      <c r="Z78" s="4"/>
      <c r="AA78" s="4">
        <v>630</v>
      </c>
      <c r="AB78" s="4">
        <v>472</v>
      </c>
      <c r="AC78" s="4" t="s">
        <v>389</v>
      </c>
      <c r="AD78" s="2">
        <v>32000</v>
      </c>
      <c r="AE78" s="4">
        <v>1000</v>
      </c>
      <c r="AF78" s="4" t="s">
        <v>458</v>
      </c>
    </row>
    <row r="79" spans="1:32" s="1" customFormat="1" x14ac:dyDescent="0.2">
      <c r="A79" s="4" t="str">
        <f t="shared" si="0"/>
        <v>WS-C3850-12X48U-C3850-NM-8-10G</v>
      </c>
      <c r="B79" s="4" t="s">
        <v>132</v>
      </c>
      <c r="C79" s="4" t="s">
        <v>53</v>
      </c>
      <c r="D79" s="4" t="s">
        <v>129</v>
      </c>
      <c r="E79" s="5" t="s">
        <v>168</v>
      </c>
      <c r="F79" s="5" t="s">
        <v>447</v>
      </c>
      <c r="G79" s="4"/>
      <c r="H79" s="4"/>
      <c r="I79" s="4"/>
      <c r="J79" s="4">
        <v>36</v>
      </c>
      <c r="K79" s="4"/>
      <c r="L79" s="4"/>
      <c r="M79" s="4"/>
      <c r="N79" s="4"/>
      <c r="O79" s="4">
        <v>12</v>
      </c>
      <c r="P79" s="4"/>
      <c r="Q79" s="4"/>
      <c r="R79" s="4"/>
      <c r="S79" s="4"/>
      <c r="T79" s="4"/>
      <c r="U79" s="4"/>
      <c r="V79" s="4"/>
      <c r="W79" s="4">
        <v>8</v>
      </c>
      <c r="X79" s="4"/>
      <c r="Y79" s="4"/>
      <c r="Z79" s="4"/>
      <c r="AA79" s="4">
        <v>630</v>
      </c>
      <c r="AB79" s="4">
        <v>472</v>
      </c>
      <c r="AC79" s="4" t="s">
        <v>389</v>
      </c>
      <c r="AD79" s="2">
        <v>32000</v>
      </c>
      <c r="AE79" s="4">
        <v>1000</v>
      </c>
      <c r="AF79" s="4" t="s">
        <v>458</v>
      </c>
    </row>
    <row r="80" spans="1:32" s="1" customFormat="1" x14ac:dyDescent="0.2">
      <c r="A80" s="4" t="str">
        <f t="shared" si="0"/>
        <v>WS-C3850-12X48U-C3850-NM-2-40G</v>
      </c>
      <c r="B80" s="4" t="s">
        <v>132</v>
      </c>
      <c r="C80" s="4" t="s">
        <v>53</v>
      </c>
      <c r="D80" s="4" t="s">
        <v>129</v>
      </c>
      <c r="E80" s="5" t="s">
        <v>169</v>
      </c>
      <c r="F80" s="5" t="s">
        <v>447</v>
      </c>
      <c r="G80" s="4"/>
      <c r="H80" s="4"/>
      <c r="I80" s="4"/>
      <c r="J80" s="4">
        <v>36</v>
      </c>
      <c r="K80" s="4"/>
      <c r="L80" s="4"/>
      <c r="M80" s="4"/>
      <c r="N80" s="4"/>
      <c r="O80" s="4">
        <v>12</v>
      </c>
      <c r="P80" s="4"/>
      <c r="Q80" s="4"/>
      <c r="R80" s="4"/>
      <c r="S80" s="4"/>
      <c r="T80" s="4"/>
      <c r="U80" s="4"/>
      <c r="V80" s="4"/>
      <c r="W80" s="4"/>
      <c r="X80" s="4"/>
      <c r="Y80" s="4">
        <v>2</v>
      </c>
      <c r="Z80" s="4"/>
      <c r="AA80" s="4">
        <v>630</v>
      </c>
      <c r="AB80" s="4">
        <v>472</v>
      </c>
      <c r="AC80" s="4" t="s">
        <v>389</v>
      </c>
      <c r="AD80" s="2">
        <v>32000</v>
      </c>
      <c r="AE80" s="4">
        <v>1000</v>
      </c>
      <c r="AF80" s="4" t="s">
        <v>458</v>
      </c>
    </row>
    <row r="81" spans="1:32" s="1" customFormat="1" x14ac:dyDescent="0.2">
      <c r="A81" s="4" t="str">
        <f t="shared" si="0"/>
        <v>WS-C3850-12XS-C3850-NM-4-1G</v>
      </c>
      <c r="B81" s="4" t="s">
        <v>132</v>
      </c>
      <c r="C81" s="4" t="s">
        <v>54</v>
      </c>
      <c r="D81" s="4" t="s">
        <v>129</v>
      </c>
      <c r="E81" s="5" t="s">
        <v>165</v>
      </c>
      <c r="F81" s="5" t="s">
        <v>447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>
        <v>12</v>
      </c>
      <c r="R81" s="4"/>
      <c r="S81" s="4"/>
      <c r="T81" s="4"/>
      <c r="U81" s="4">
        <v>4</v>
      </c>
      <c r="V81" s="4"/>
      <c r="W81" s="4"/>
      <c r="X81" s="4"/>
      <c r="Y81" s="4"/>
      <c r="Z81" s="4"/>
      <c r="AA81" s="4"/>
      <c r="AB81" s="4">
        <v>320</v>
      </c>
      <c r="AC81" s="4" t="s">
        <v>389</v>
      </c>
      <c r="AD81" s="4">
        <v>32000</v>
      </c>
      <c r="AE81" s="4">
        <v>1000</v>
      </c>
      <c r="AF81" s="4" t="s">
        <v>460</v>
      </c>
    </row>
    <row r="82" spans="1:32" s="1" customFormat="1" x14ac:dyDescent="0.2">
      <c r="A82" s="4" t="str">
        <f t="shared" si="0"/>
        <v>WS-C3850-24XS-C3850-NM-4-1G</v>
      </c>
      <c r="B82" s="4" t="s">
        <v>132</v>
      </c>
      <c r="C82" s="4" t="s">
        <v>55</v>
      </c>
      <c r="D82" s="4" t="s">
        <v>129</v>
      </c>
      <c r="E82" s="5" t="s">
        <v>165</v>
      </c>
      <c r="F82" s="5" t="s">
        <v>447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>
        <v>24</v>
      </c>
      <c r="R82" s="4"/>
      <c r="S82" s="4"/>
      <c r="T82" s="4"/>
      <c r="U82" s="4">
        <v>4</v>
      </c>
      <c r="V82" s="4"/>
      <c r="W82" s="4"/>
      <c r="X82" s="4"/>
      <c r="Y82" s="4"/>
      <c r="Z82" s="4"/>
      <c r="AA82" s="4"/>
      <c r="AB82" s="4">
        <v>640</v>
      </c>
      <c r="AC82" s="4" t="s">
        <v>389</v>
      </c>
      <c r="AD82" s="2">
        <v>32000</v>
      </c>
      <c r="AE82" s="4">
        <v>1000</v>
      </c>
      <c r="AF82" s="4" t="s">
        <v>460</v>
      </c>
    </row>
    <row r="83" spans="1:32" s="1" customFormat="1" x14ac:dyDescent="0.2">
      <c r="A83" s="4" t="str">
        <f t="shared" si="0"/>
        <v>WS-C3850-24XS-C3850-NM-8-10G</v>
      </c>
      <c r="B83" s="4" t="s">
        <v>132</v>
      </c>
      <c r="C83" s="4" t="s">
        <v>55</v>
      </c>
      <c r="D83" s="4" t="s">
        <v>129</v>
      </c>
      <c r="E83" s="5" t="s">
        <v>168</v>
      </c>
      <c r="F83" s="5" t="s">
        <v>447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>
        <v>24</v>
      </c>
      <c r="R83" s="4"/>
      <c r="S83" s="4"/>
      <c r="T83" s="4"/>
      <c r="U83" s="4"/>
      <c r="V83" s="4"/>
      <c r="W83" s="4">
        <v>8</v>
      </c>
      <c r="X83" s="4"/>
      <c r="Y83" s="4"/>
      <c r="Z83" s="4"/>
      <c r="AA83" s="4"/>
      <c r="AB83" s="4">
        <v>640</v>
      </c>
      <c r="AC83" s="4" t="s">
        <v>389</v>
      </c>
      <c r="AD83" s="2">
        <v>32000</v>
      </c>
      <c r="AE83" s="4">
        <v>1000</v>
      </c>
      <c r="AF83" s="4" t="s">
        <v>460</v>
      </c>
    </row>
    <row r="84" spans="1:32" s="1" customFormat="1" x14ac:dyDescent="0.2">
      <c r="A84" s="4" t="str">
        <f t="shared" si="0"/>
        <v>WS-C3850-24XS-C3850-NM-2-40G</v>
      </c>
      <c r="B84" s="4" t="s">
        <v>132</v>
      </c>
      <c r="C84" s="4" t="s">
        <v>55</v>
      </c>
      <c r="D84" s="4" t="s">
        <v>129</v>
      </c>
      <c r="E84" s="5" t="s">
        <v>169</v>
      </c>
      <c r="F84" s="5" t="s">
        <v>447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>
        <v>24</v>
      </c>
      <c r="R84" s="4"/>
      <c r="S84" s="4"/>
      <c r="T84" s="4"/>
      <c r="U84" s="4"/>
      <c r="V84" s="4"/>
      <c r="W84" s="4"/>
      <c r="X84" s="4"/>
      <c r="Y84" s="4">
        <v>2</v>
      </c>
      <c r="Z84" s="4"/>
      <c r="AA84" s="4"/>
      <c r="AB84" s="4">
        <v>640</v>
      </c>
      <c r="AC84" s="4" t="s">
        <v>389</v>
      </c>
      <c r="AD84" s="2">
        <v>32000</v>
      </c>
      <c r="AE84" s="4">
        <v>1000</v>
      </c>
      <c r="AF84" s="4" t="s">
        <v>460</v>
      </c>
    </row>
    <row r="85" spans="1:32" s="1" customFormat="1" x14ac:dyDescent="0.2">
      <c r="A85" s="4" t="str">
        <f t="shared" si="0"/>
        <v>WS-C3850-48XS</v>
      </c>
      <c r="B85" s="4" t="s">
        <v>132</v>
      </c>
      <c r="C85" s="4" t="s">
        <v>56</v>
      </c>
      <c r="D85" s="4" t="s">
        <v>128</v>
      </c>
      <c r="E85" s="4"/>
      <c r="F85" s="5" t="s">
        <v>447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>
        <v>48</v>
      </c>
      <c r="R85" s="4"/>
      <c r="S85" s="4"/>
      <c r="T85" s="4"/>
      <c r="U85" s="4"/>
      <c r="V85" s="4"/>
      <c r="W85" s="4"/>
      <c r="X85" s="4"/>
      <c r="Y85" s="4">
        <v>4</v>
      </c>
      <c r="Z85" s="4"/>
      <c r="AA85" s="4"/>
      <c r="AB85" s="4">
        <v>1280</v>
      </c>
      <c r="AC85" s="4" t="s">
        <v>390</v>
      </c>
      <c r="AD85" s="2">
        <v>32000</v>
      </c>
      <c r="AE85" s="4">
        <v>1000</v>
      </c>
      <c r="AF85" s="4" t="s">
        <v>460</v>
      </c>
    </row>
    <row r="86" spans="1:32" s="1" customFormat="1" x14ac:dyDescent="0.2">
      <c r="A86" s="4" t="str">
        <f t="shared" si="0"/>
        <v>C9200L-24T-4G-E</v>
      </c>
      <c r="B86" s="4" t="s">
        <v>133</v>
      </c>
      <c r="C86" s="4" t="s">
        <v>57</v>
      </c>
      <c r="D86" s="4" t="s">
        <v>128</v>
      </c>
      <c r="E86" s="4"/>
      <c r="F86" s="4" t="s">
        <v>352</v>
      </c>
      <c r="G86" s="4">
        <v>24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>
        <v>4</v>
      </c>
      <c r="V86" s="4"/>
      <c r="W86" s="4"/>
      <c r="X86" s="4"/>
      <c r="Y86" s="4"/>
      <c r="Z86" s="4"/>
      <c r="AA86" s="4"/>
      <c r="AB86" s="4">
        <v>56</v>
      </c>
      <c r="AC86" s="4" t="s">
        <v>389</v>
      </c>
      <c r="AD86" s="4">
        <v>16000</v>
      </c>
      <c r="AE86" s="4">
        <v>4094</v>
      </c>
      <c r="AF86" s="4"/>
    </row>
    <row r="87" spans="1:32" x14ac:dyDescent="0.2">
      <c r="A87" s="2" t="str">
        <f t="shared" si="0"/>
        <v>C9200L-24P-4G-E</v>
      </c>
      <c r="B87" s="2" t="s">
        <v>133</v>
      </c>
      <c r="C87" s="2" t="s">
        <v>58</v>
      </c>
      <c r="D87" s="2" t="s">
        <v>128</v>
      </c>
      <c r="E87" s="2"/>
      <c r="F87" s="2" t="s">
        <v>352</v>
      </c>
      <c r="G87" s="2"/>
      <c r="H87" s="2"/>
      <c r="I87" s="2">
        <v>24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>
        <v>4</v>
      </c>
      <c r="V87" s="2"/>
      <c r="W87" s="2"/>
      <c r="X87" s="2"/>
      <c r="Y87" s="2"/>
      <c r="Z87" s="2"/>
      <c r="AA87" s="2">
        <v>370</v>
      </c>
      <c r="AB87" s="2">
        <v>56</v>
      </c>
      <c r="AC87" s="4" t="s">
        <v>389</v>
      </c>
      <c r="AD87" s="2">
        <v>16000</v>
      </c>
      <c r="AE87" s="4">
        <v>4094</v>
      </c>
      <c r="AF87" s="2" t="s">
        <v>456</v>
      </c>
    </row>
    <row r="88" spans="1:32" x14ac:dyDescent="0.2">
      <c r="A88" s="2" t="str">
        <f t="shared" ref="A88:A89" si="2">IF(D88="Fixed",C88,C88&amp;"-"&amp;E88)</f>
        <v>C9200L-48T-4G-E</v>
      </c>
      <c r="B88" s="2" t="s">
        <v>133</v>
      </c>
      <c r="C88" s="2" t="s">
        <v>59</v>
      </c>
      <c r="D88" s="2" t="s">
        <v>128</v>
      </c>
      <c r="E88" s="2"/>
      <c r="F88" s="2" t="s">
        <v>352</v>
      </c>
      <c r="G88" s="2">
        <v>48</v>
      </c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>
        <v>4</v>
      </c>
      <c r="V88" s="2"/>
      <c r="W88" s="2"/>
      <c r="X88" s="2"/>
      <c r="Y88" s="2"/>
      <c r="Z88" s="2"/>
      <c r="AA88" s="2"/>
      <c r="AB88" s="2">
        <v>104</v>
      </c>
      <c r="AC88" s="4" t="s">
        <v>389</v>
      </c>
      <c r="AD88" s="2">
        <v>16000</v>
      </c>
      <c r="AE88" s="4">
        <v>4094</v>
      </c>
      <c r="AF88" s="2"/>
    </row>
    <row r="89" spans="1:32" x14ac:dyDescent="0.2">
      <c r="A89" s="2" t="str">
        <f t="shared" si="2"/>
        <v>C9200L-48P-4G-E</v>
      </c>
      <c r="B89" s="2" t="s">
        <v>133</v>
      </c>
      <c r="C89" s="2" t="s">
        <v>60</v>
      </c>
      <c r="D89" s="2" t="s">
        <v>128</v>
      </c>
      <c r="E89" s="2"/>
      <c r="F89" s="2" t="s">
        <v>352</v>
      </c>
      <c r="G89" s="2"/>
      <c r="H89" s="2"/>
      <c r="I89" s="2">
        <v>48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>
        <v>4</v>
      </c>
      <c r="V89" s="2"/>
      <c r="W89" s="2"/>
      <c r="X89" s="2"/>
      <c r="Y89" s="2"/>
      <c r="Z89" s="2"/>
      <c r="AA89" s="2">
        <v>740</v>
      </c>
      <c r="AB89" s="2">
        <v>104</v>
      </c>
      <c r="AC89" s="4" t="s">
        <v>389</v>
      </c>
      <c r="AD89" s="2">
        <v>16000</v>
      </c>
      <c r="AE89" s="4">
        <v>4094</v>
      </c>
      <c r="AF89" s="2" t="s">
        <v>456</v>
      </c>
    </row>
    <row r="90" spans="1:32" x14ac:dyDescent="0.2">
      <c r="A90" s="2" t="str">
        <f>IF(D90="Fixed",C90,C90&amp;"-"&amp;E90)</f>
        <v>C9200L-24T-4X-E</v>
      </c>
      <c r="B90" s="2" t="s">
        <v>133</v>
      </c>
      <c r="C90" s="2" t="s">
        <v>61</v>
      </c>
      <c r="D90" s="2" t="s">
        <v>128</v>
      </c>
      <c r="E90" s="2"/>
      <c r="F90" s="2" t="s">
        <v>352</v>
      </c>
      <c r="G90" s="2">
        <v>24</v>
      </c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>
        <v>4</v>
      </c>
      <c r="X90" s="2"/>
      <c r="Y90" s="2"/>
      <c r="Z90" s="2"/>
      <c r="AA90" s="2"/>
      <c r="AB90" s="2">
        <v>128</v>
      </c>
      <c r="AC90" s="4" t="s">
        <v>389</v>
      </c>
      <c r="AD90" s="2">
        <v>16000</v>
      </c>
      <c r="AE90" s="4">
        <v>4094</v>
      </c>
      <c r="AF90" s="2"/>
    </row>
    <row r="91" spans="1:32" x14ac:dyDescent="0.2">
      <c r="A91" s="2" t="str">
        <f t="shared" ref="A91:A125" si="3">IF(D91="Fixed",C91,C91&amp;"-"&amp;E91)</f>
        <v>C9200L-24P-4X-E</v>
      </c>
      <c r="B91" s="2" t="s">
        <v>133</v>
      </c>
      <c r="C91" s="2" t="s">
        <v>62</v>
      </c>
      <c r="D91" s="2" t="s">
        <v>128</v>
      </c>
      <c r="E91" s="2"/>
      <c r="F91" s="2" t="s">
        <v>352</v>
      </c>
      <c r="G91" s="2"/>
      <c r="H91" s="2"/>
      <c r="I91" s="2">
        <v>24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>
        <v>4</v>
      </c>
      <c r="X91" s="2"/>
      <c r="Y91" s="2"/>
      <c r="Z91" s="2"/>
      <c r="AA91" s="2">
        <v>370</v>
      </c>
      <c r="AB91" s="2">
        <v>128</v>
      </c>
      <c r="AC91" s="4" t="s">
        <v>389</v>
      </c>
      <c r="AD91" s="2">
        <v>16000</v>
      </c>
      <c r="AE91" s="4">
        <v>4094</v>
      </c>
      <c r="AF91" s="2" t="s">
        <v>456</v>
      </c>
    </row>
    <row r="92" spans="1:32" x14ac:dyDescent="0.2">
      <c r="A92" s="2" t="str">
        <f t="shared" si="3"/>
        <v>C9200L-48T-4X-E</v>
      </c>
      <c r="B92" s="2" t="s">
        <v>133</v>
      </c>
      <c r="C92" s="2" t="s">
        <v>63</v>
      </c>
      <c r="D92" s="2" t="s">
        <v>128</v>
      </c>
      <c r="E92" s="2"/>
      <c r="F92" s="2" t="s">
        <v>352</v>
      </c>
      <c r="G92" s="2">
        <v>48</v>
      </c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>
        <v>4</v>
      </c>
      <c r="X92" s="2"/>
      <c r="Y92" s="2"/>
      <c r="Z92" s="2"/>
      <c r="AA92" s="2"/>
      <c r="AB92" s="2">
        <v>176</v>
      </c>
      <c r="AC92" s="4" t="s">
        <v>389</v>
      </c>
      <c r="AD92" s="2">
        <v>16000</v>
      </c>
      <c r="AE92" s="4">
        <v>4094</v>
      </c>
      <c r="AF92" s="2"/>
    </row>
    <row r="93" spans="1:32" s="1" customFormat="1" x14ac:dyDescent="0.2">
      <c r="A93" s="4" t="str">
        <f t="shared" si="3"/>
        <v>C9200L-48P-4X-E</v>
      </c>
      <c r="B93" s="4" t="s">
        <v>133</v>
      </c>
      <c r="C93" s="4" t="s">
        <v>64</v>
      </c>
      <c r="D93" s="4" t="s">
        <v>128</v>
      </c>
      <c r="E93" s="4"/>
      <c r="F93" s="4" t="s">
        <v>352</v>
      </c>
      <c r="G93" s="4"/>
      <c r="H93" s="4"/>
      <c r="I93" s="4">
        <v>48</v>
      </c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>
        <v>4</v>
      </c>
      <c r="X93" s="4"/>
      <c r="Y93" s="4"/>
      <c r="Z93" s="4"/>
      <c r="AA93" s="4">
        <v>740</v>
      </c>
      <c r="AB93" s="4">
        <v>176</v>
      </c>
      <c r="AC93" s="4" t="s">
        <v>389</v>
      </c>
      <c r="AD93" s="4">
        <v>16000</v>
      </c>
      <c r="AE93" s="4">
        <v>4094</v>
      </c>
      <c r="AF93" s="4" t="s">
        <v>456</v>
      </c>
    </row>
    <row r="94" spans="1:32" s="1" customFormat="1" x14ac:dyDescent="0.2">
      <c r="A94" s="4" t="str">
        <f t="shared" si="3"/>
        <v>C9200L-24PXG-4X-E</v>
      </c>
      <c r="B94" s="4" t="s">
        <v>133</v>
      </c>
      <c r="C94" s="4" t="s">
        <v>463</v>
      </c>
      <c r="D94" s="4" t="s">
        <v>128</v>
      </c>
      <c r="E94" s="4"/>
      <c r="F94" s="4" t="s">
        <v>352</v>
      </c>
      <c r="G94" s="4"/>
      <c r="H94" s="4"/>
      <c r="I94" s="4">
        <v>16</v>
      </c>
      <c r="J94" s="4"/>
      <c r="K94" s="4"/>
      <c r="L94" s="4"/>
      <c r="M94" s="4"/>
      <c r="N94" s="4">
        <v>8</v>
      </c>
      <c r="O94" s="4"/>
      <c r="P94" s="4"/>
      <c r="Q94" s="4"/>
      <c r="R94" s="4"/>
      <c r="S94" s="4"/>
      <c r="T94" s="4"/>
      <c r="U94" s="4"/>
      <c r="V94" s="4"/>
      <c r="W94" s="4">
        <v>4</v>
      </c>
      <c r="X94" s="4"/>
      <c r="Y94" s="4"/>
      <c r="Z94" s="4"/>
      <c r="AA94" s="4">
        <v>370</v>
      </c>
      <c r="AB94" s="4">
        <v>272</v>
      </c>
      <c r="AC94" s="4" t="s">
        <v>389</v>
      </c>
      <c r="AD94" s="4">
        <v>16000</v>
      </c>
      <c r="AE94" s="4">
        <v>4094</v>
      </c>
      <c r="AF94" s="4" t="s">
        <v>456</v>
      </c>
    </row>
    <row r="95" spans="1:32" s="1" customFormat="1" x14ac:dyDescent="0.2">
      <c r="A95" s="4" t="str">
        <f t="shared" si="3"/>
        <v>C9200L-48PXG-4X-E</v>
      </c>
      <c r="B95" s="4" t="s">
        <v>133</v>
      </c>
      <c r="C95" s="4" t="s">
        <v>464</v>
      </c>
      <c r="D95" s="4" t="s">
        <v>128</v>
      </c>
      <c r="E95" s="4"/>
      <c r="F95" s="4" t="s">
        <v>352</v>
      </c>
      <c r="G95" s="4"/>
      <c r="H95" s="4"/>
      <c r="I95" s="4">
        <v>36</v>
      </c>
      <c r="J95" s="4"/>
      <c r="K95" s="4"/>
      <c r="L95" s="4"/>
      <c r="M95" s="4"/>
      <c r="N95" s="4">
        <v>12</v>
      </c>
      <c r="O95" s="4"/>
      <c r="P95" s="4"/>
      <c r="Q95" s="4"/>
      <c r="R95" s="4"/>
      <c r="S95" s="4"/>
      <c r="T95" s="4"/>
      <c r="U95" s="4"/>
      <c r="V95" s="4"/>
      <c r="W95" s="4">
        <v>4</v>
      </c>
      <c r="X95" s="4"/>
      <c r="Y95" s="4"/>
      <c r="Z95" s="4"/>
      <c r="AA95" s="4">
        <v>740</v>
      </c>
      <c r="AB95" s="4">
        <v>292</v>
      </c>
      <c r="AC95" s="4" t="s">
        <v>389</v>
      </c>
      <c r="AD95" s="4">
        <v>16000</v>
      </c>
      <c r="AE95" s="4">
        <v>4094</v>
      </c>
      <c r="AF95" s="4" t="s">
        <v>456</v>
      </c>
    </row>
    <row r="96" spans="1:32" s="1" customFormat="1" x14ac:dyDescent="0.2">
      <c r="A96" s="4" t="str">
        <f t="shared" si="3"/>
        <v>C9200L-24PXG-2Y-E</v>
      </c>
      <c r="B96" s="4" t="s">
        <v>133</v>
      </c>
      <c r="C96" s="4" t="s">
        <v>465</v>
      </c>
      <c r="D96" s="4" t="s">
        <v>128</v>
      </c>
      <c r="E96" s="4"/>
      <c r="F96" s="4" t="s">
        <v>352</v>
      </c>
      <c r="G96" s="4"/>
      <c r="H96" s="4"/>
      <c r="I96" s="4">
        <v>16</v>
      </c>
      <c r="J96" s="4"/>
      <c r="K96" s="4"/>
      <c r="L96" s="4"/>
      <c r="M96" s="4"/>
      <c r="N96" s="4">
        <v>8</v>
      </c>
      <c r="O96" s="4"/>
      <c r="P96" s="4"/>
      <c r="Q96" s="4"/>
      <c r="R96" s="4"/>
      <c r="S96" s="4"/>
      <c r="T96" s="4"/>
      <c r="U96" s="4"/>
      <c r="V96" s="4"/>
      <c r="W96" s="4"/>
      <c r="X96" s="4">
        <v>2</v>
      </c>
      <c r="Y96" s="4"/>
      <c r="Z96" s="4"/>
      <c r="AA96" s="4">
        <v>370</v>
      </c>
      <c r="AB96" s="4">
        <v>392</v>
      </c>
      <c r="AC96" s="4" t="s">
        <v>389</v>
      </c>
      <c r="AD96" s="4">
        <v>16000</v>
      </c>
      <c r="AE96" s="4">
        <v>4094</v>
      </c>
      <c r="AF96" s="4" t="s">
        <v>456</v>
      </c>
    </row>
    <row r="97" spans="1:32" s="1" customFormat="1" x14ac:dyDescent="0.2">
      <c r="A97" s="4" t="str">
        <f t="shared" si="3"/>
        <v>C9200L-48PXG-2Y-E</v>
      </c>
      <c r="B97" s="4" t="s">
        <v>133</v>
      </c>
      <c r="C97" s="4" t="s">
        <v>466</v>
      </c>
      <c r="D97" s="4" t="s">
        <v>128</v>
      </c>
      <c r="E97" s="4"/>
      <c r="F97" s="4" t="s">
        <v>352</v>
      </c>
      <c r="G97" s="4"/>
      <c r="H97" s="4"/>
      <c r="I97" s="4">
        <v>40</v>
      </c>
      <c r="J97" s="4"/>
      <c r="K97" s="4"/>
      <c r="L97" s="4"/>
      <c r="M97" s="4"/>
      <c r="N97" s="4">
        <v>8</v>
      </c>
      <c r="O97" s="4"/>
      <c r="P97" s="4"/>
      <c r="Q97" s="4"/>
      <c r="R97" s="4"/>
      <c r="S97" s="4"/>
      <c r="T97" s="4"/>
      <c r="U97" s="4"/>
      <c r="V97" s="4"/>
      <c r="W97" s="4"/>
      <c r="X97" s="4">
        <v>2</v>
      </c>
      <c r="Y97" s="4"/>
      <c r="Z97" s="4"/>
      <c r="AA97" s="4">
        <v>740</v>
      </c>
      <c r="AB97" s="4">
        <v>340</v>
      </c>
      <c r="AC97" s="4" t="s">
        <v>389</v>
      </c>
      <c r="AD97" s="4">
        <v>16000</v>
      </c>
      <c r="AE97" s="4">
        <v>4094</v>
      </c>
      <c r="AF97" s="4" t="s">
        <v>456</v>
      </c>
    </row>
    <row r="98" spans="1:32" s="1" customFormat="1" x14ac:dyDescent="0.2">
      <c r="A98" s="4" t="str">
        <f t="shared" si="3"/>
        <v>C9200-24T-E-C9200-NM-4G</v>
      </c>
      <c r="B98" s="4" t="s">
        <v>133</v>
      </c>
      <c r="C98" s="4" t="s">
        <v>65</v>
      </c>
      <c r="D98" s="4" t="s">
        <v>129</v>
      </c>
      <c r="E98" s="4" t="s">
        <v>146</v>
      </c>
      <c r="F98" s="4" t="s">
        <v>352</v>
      </c>
      <c r="G98" s="4">
        <v>24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29" t="str">
        <f>IF(E98="C9200-NM-4G","4","")</f>
        <v>4</v>
      </c>
      <c r="V98" s="4"/>
      <c r="W98" s="4" t="str">
        <f>IF(E98="C9200-NM-4X","4","")</f>
        <v/>
      </c>
      <c r="X98" s="4" t="str">
        <f>IF(E98="C9200-NM-2Y","2","")</f>
        <v/>
      </c>
      <c r="Y98" s="4" t="str">
        <f>IF(E98="C9200-NM-2Q","2","")</f>
        <v/>
      </c>
      <c r="Z98" s="4"/>
      <c r="AA98" s="4"/>
      <c r="AB98" s="4">
        <v>128</v>
      </c>
      <c r="AC98" s="4" t="s">
        <v>389</v>
      </c>
      <c r="AD98" s="4">
        <v>32000</v>
      </c>
      <c r="AE98" s="4">
        <v>4094</v>
      </c>
      <c r="AF98" s="4"/>
    </row>
    <row r="99" spans="1:32" x14ac:dyDescent="0.2">
      <c r="A99" s="2" t="str">
        <f>IF(D99="Fixed",C99,C99&amp;"-"&amp;E99)</f>
        <v>C9200-24T-E-C9200-NM-4X</v>
      </c>
      <c r="B99" s="2" t="s">
        <v>133</v>
      </c>
      <c r="C99" s="2" t="s">
        <v>65</v>
      </c>
      <c r="D99" s="2" t="s">
        <v>129</v>
      </c>
      <c r="E99" s="2" t="s">
        <v>147</v>
      </c>
      <c r="F99" s="2" t="s">
        <v>352</v>
      </c>
      <c r="G99" s="2">
        <v>24</v>
      </c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9" t="str">
        <f t="shared" ref="U99:U117" si="4">IF(E99="C9200-NM-4G","4","")</f>
        <v/>
      </c>
      <c r="V99" s="2"/>
      <c r="W99" s="4" t="str">
        <f t="shared" ref="W99:W117" si="5">IF(E99="C9200-NM-4X","4","")</f>
        <v>4</v>
      </c>
      <c r="X99" s="4" t="str">
        <f t="shared" ref="X99:X117" si="6">IF(E99="C9200-NM-2Y","2","")</f>
        <v/>
      </c>
      <c r="Y99" s="4" t="str">
        <f t="shared" ref="Y99:Y116" si="7">IF(E99="C9200-NM-2Q","2","")</f>
        <v/>
      </c>
      <c r="Z99" s="2"/>
      <c r="AA99" s="2"/>
      <c r="AB99" s="2">
        <v>128</v>
      </c>
      <c r="AC99" s="4" t="s">
        <v>389</v>
      </c>
      <c r="AD99" s="2">
        <v>32000</v>
      </c>
      <c r="AE99" s="4">
        <v>4094</v>
      </c>
      <c r="AF99" s="2"/>
    </row>
    <row r="100" spans="1:32" x14ac:dyDescent="0.2">
      <c r="A100" s="2" t="str">
        <f t="shared" si="3"/>
        <v>C9200-24P-E-C9200-NM-4G</v>
      </c>
      <c r="B100" s="2" t="s">
        <v>133</v>
      </c>
      <c r="C100" s="2" t="s">
        <v>66</v>
      </c>
      <c r="D100" s="2" t="s">
        <v>129</v>
      </c>
      <c r="E100" s="2" t="s">
        <v>146</v>
      </c>
      <c r="F100" s="2" t="s">
        <v>352</v>
      </c>
      <c r="G100" s="2"/>
      <c r="H100" s="2"/>
      <c r="I100" s="2">
        <v>24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9" t="str">
        <f t="shared" si="4"/>
        <v>4</v>
      </c>
      <c r="V100" s="2"/>
      <c r="W100" s="4" t="str">
        <f t="shared" si="5"/>
        <v/>
      </c>
      <c r="X100" s="4" t="str">
        <f t="shared" si="6"/>
        <v/>
      </c>
      <c r="Y100" s="4" t="str">
        <f t="shared" si="7"/>
        <v/>
      </c>
      <c r="Z100" s="2"/>
      <c r="AA100" s="2">
        <v>370</v>
      </c>
      <c r="AB100" s="2">
        <v>128</v>
      </c>
      <c r="AC100" s="4" t="s">
        <v>389</v>
      </c>
      <c r="AD100" s="2">
        <v>32000</v>
      </c>
      <c r="AE100" s="4">
        <v>4094</v>
      </c>
      <c r="AF100" s="4" t="s">
        <v>456</v>
      </c>
    </row>
    <row r="101" spans="1:32" x14ac:dyDescent="0.2">
      <c r="A101" s="2" t="str">
        <f>IF(D101="Fixed",C101,C101&amp;"-"&amp;E101)</f>
        <v>C9200-24P-E-C9200-NM-4X</v>
      </c>
      <c r="B101" s="2" t="s">
        <v>133</v>
      </c>
      <c r="C101" s="2" t="s">
        <v>66</v>
      </c>
      <c r="D101" s="2" t="s">
        <v>129</v>
      </c>
      <c r="E101" s="2" t="s">
        <v>147</v>
      </c>
      <c r="F101" s="2" t="s">
        <v>352</v>
      </c>
      <c r="G101" s="2"/>
      <c r="H101" s="2"/>
      <c r="I101" s="2">
        <v>24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9" t="str">
        <f t="shared" si="4"/>
        <v/>
      </c>
      <c r="V101" s="2"/>
      <c r="W101" s="4" t="str">
        <f t="shared" si="5"/>
        <v>4</v>
      </c>
      <c r="X101" s="4" t="str">
        <f t="shared" si="6"/>
        <v/>
      </c>
      <c r="Y101" s="4" t="str">
        <f t="shared" si="7"/>
        <v/>
      </c>
      <c r="Z101" s="2"/>
      <c r="AA101" s="30">
        <v>370</v>
      </c>
      <c r="AB101" s="30">
        <v>128</v>
      </c>
      <c r="AC101" s="4" t="s">
        <v>389</v>
      </c>
      <c r="AD101" s="2">
        <v>32000</v>
      </c>
      <c r="AE101" s="4">
        <v>4094</v>
      </c>
      <c r="AF101" s="4" t="s">
        <v>456</v>
      </c>
    </row>
    <row r="102" spans="1:32" x14ac:dyDescent="0.2">
      <c r="A102" s="2" t="str">
        <f t="shared" ref="A102:A107" si="8">IF(D102="Fixed",C102,C102&amp;"-"&amp;E102)</f>
        <v>C9200-24PB-E-C9200-NM-4G</v>
      </c>
      <c r="B102" s="2" t="s">
        <v>133</v>
      </c>
      <c r="C102" s="2" t="s">
        <v>471</v>
      </c>
      <c r="D102" s="2" t="s">
        <v>129</v>
      </c>
      <c r="E102" s="2" t="s">
        <v>146</v>
      </c>
      <c r="F102" s="2" t="s">
        <v>352</v>
      </c>
      <c r="G102" s="2"/>
      <c r="H102" s="2"/>
      <c r="I102" s="2">
        <v>24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9" t="str">
        <f t="shared" si="4"/>
        <v>4</v>
      </c>
      <c r="V102" s="2"/>
      <c r="W102" s="4" t="str">
        <f t="shared" si="5"/>
        <v/>
      </c>
      <c r="X102" s="4" t="str">
        <f t="shared" si="6"/>
        <v/>
      </c>
      <c r="Y102" s="4" t="str">
        <f t="shared" si="7"/>
        <v/>
      </c>
      <c r="Z102" s="2"/>
      <c r="AA102" s="2">
        <v>370</v>
      </c>
      <c r="AB102" s="2">
        <v>128</v>
      </c>
      <c r="AC102" s="4" t="s">
        <v>389</v>
      </c>
      <c r="AD102" s="2">
        <v>32000</v>
      </c>
      <c r="AE102" s="4">
        <v>4094</v>
      </c>
      <c r="AF102" s="4" t="s">
        <v>479</v>
      </c>
    </row>
    <row r="103" spans="1:32" x14ac:dyDescent="0.2">
      <c r="A103" s="2" t="str">
        <f t="shared" si="8"/>
        <v>C9200-24PB-E-C9200-NM-4X</v>
      </c>
      <c r="B103" s="2" t="s">
        <v>133</v>
      </c>
      <c r="C103" s="2" t="s">
        <v>471</v>
      </c>
      <c r="D103" s="2" t="s">
        <v>129</v>
      </c>
      <c r="E103" s="2" t="s">
        <v>147</v>
      </c>
      <c r="F103" s="2" t="s">
        <v>352</v>
      </c>
      <c r="G103" s="2"/>
      <c r="H103" s="2"/>
      <c r="I103" s="2">
        <v>24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9" t="str">
        <f t="shared" si="4"/>
        <v/>
      </c>
      <c r="V103" s="2"/>
      <c r="W103" s="4" t="str">
        <f t="shared" si="5"/>
        <v>4</v>
      </c>
      <c r="X103" s="4" t="str">
        <f t="shared" si="6"/>
        <v/>
      </c>
      <c r="Y103" s="4" t="str">
        <f t="shared" si="7"/>
        <v/>
      </c>
      <c r="Z103" s="2"/>
      <c r="AA103" s="2">
        <v>370</v>
      </c>
      <c r="AB103" s="2">
        <v>128</v>
      </c>
      <c r="AC103" s="4" t="s">
        <v>389</v>
      </c>
      <c r="AD103" s="2">
        <v>32000</v>
      </c>
      <c r="AE103" s="4">
        <v>4094</v>
      </c>
      <c r="AF103" s="4" t="s">
        <v>479</v>
      </c>
    </row>
    <row r="104" spans="1:32" x14ac:dyDescent="0.2">
      <c r="A104" s="2" t="str">
        <f t="shared" si="8"/>
        <v>C9200-24PXG-E-C9200-NM-4G</v>
      </c>
      <c r="B104" s="2" t="s">
        <v>133</v>
      </c>
      <c r="C104" s="2" t="s">
        <v>472</v>
      </c>
      <c r="D104" s="2" t="s">
        <v>129</v>
      </c>
      <c r="E104" s="2" t="s">
        <v>146</v>
      </c>
      <c r="F104" s="2" t="s">
        <v>352</v>
      </c>
      <c r="G104" s="2"/>
      <c r="H104" s="2"/>
      <c r="I104" s="2">
        <v>16</v>
      </c>
      <c r="J104" s="2"/>
      <c r="K104" s="2"/>
      <c r="L104" s="2"/>
      <c r="M104" s="2"/>
      <c r="N104" s="2">
        <v>8</v>
      </c>
      <c r="O104" s="2"/>
      <c r="P104" s="2"/>
      <c r="Q104" s="2"/>
      <c r="R104" s="2"/>
      <c r="S104" s="2"/>
      <c r="T104" s="2"/>
      <c r="U104" s="29" t="str">
        <f t="shared" si="4"/>
        <v>4</v>
      </c>
      <c r="V104" s="2"/>
      <c r="W104" s="4" t="str">
        <f t="shared" si="5"/>
        <v/>
      </c>
      <c r="X104" s="4" t="str">
        <f t="shared" si="6"/>
        <v/>
      </c>
      <c r="Y104" s="4" t="str">
        <f t="shared" si="7"/>
        <v/>
      </c>
      <c r="Z104" s="2"/>
      <c r="AA104" s="2">
        <v>370</v>
      </c>
      <c r="AB104" s="2">
        <v>352</v>
      </c>
      <c r="AC104" s="4" t="s">
        <v>389</v>
      </c>
      <c r="AD104" s="2">
        <v>32000</v>
      </c>
      <c r="AE104" s="4">
        <v>4094</v>
      </c>
      <c r="AF104" s="4" t="s">
        <v>456</v>
      </c>
    </row>
    <row r="105" spans="1:32" x14ac:dyDescent="0.2">
      <c r="A105" s="2" t="str">
        <f t="shared" si="8"/>
        <v>C9200-24PXG-E-C9200-NM-4X</v>
      </c>
      <c r="B105" s="2" t="s">
        <v>133</v>
      </c>
      <c r="C105" s="2" t="s">
        <v>472</v>
      </c>
      <c r="D105" s="2" t="s">
        <v>129</v>
      </c>
      <c r="E105" s="2" t="s">
        <v>147</v>
      </c>
      <c r="F105" s="2" t="s">
        <v>352</v>
      </c>
      <c r="G105" s="2"/>
      <c r="H105" s="2"/>
      <c r="I105" s="2">
        <v>16</v>
      </c>
      <c r="J105" s="2"/>
      <c r="K105" s="2"/>
      <c r="L105" s="2"/>
      <c r="M105" s="2"/>
      <c r="N105" s="2">
        <v>8</v>
      </c>
      <c r="O105" s="2"/>
      <c r="P105" s="2"/>
      <c r="Q105" s="2"/>
      <c r="R105" s="2"/>
      <c r="S105" s="2"/>
      <c r="T105" s="2"/>
      <c r="U105" s="29" t="str">
        <f t="shared" si="4"/>
        <v/>
      </c>
      <c r="V105" s="2"/>
      <c r="W105" s="4" t="str">
        <f t="shared" si="5"/>
        <v>4</v>
      </c>
      <c r="X105" s="4" t="str">
        <f t="shared" si="6"/>
        <v/>
      </c>
      <c r="Y105" s="4" t="str">
        <f t="shared" si="7"/>
        <v/>
      </c>
      <c r="Z105" s="2"/>
      <c r="AA105" s="2">
        <v>370</v>
      </c>
      <c r="AB105" s="2">
        <v>352</v>
      </c>
      <c r="AC105" s="4" t="s">
        <v>389</v>
      </c>
      <c r="AD105" s="2">
        <v>32000</v>
      </c>
      <c r="AE105" s="4">
        <v>4094</v>
      </c>
      <c r="AF105" s="4" t="s">
        <v>456</v>
      </c>
    </row>
    <row r="106" spans="1:32" x14ac:dyDescent="0.2">
      <c r="A106" s="2" t="str">
        <f t="shared" si="8"/>
        <v>C9200-24PXG-E-C9200-NM-2Y</v>
      </c>
      <c r="B106" s="2" t="s">
        <v>133</v>
      </c>
      <c r="C106" s="2" t="s">
        <v>472</v>
      </c>
      <c r="D106" s="2" t="s">
        <v>129</v>
      </c>
      <c r="E106" s="2" t="s">
        <v>461</v>
      </c>
      <c r="F106" s="2" t="s">
        <v>352</v>
      </c>
      <c r="G106" s="2"/>
      <c r="H106" s="2"/>
      <c r="I106" s="2">
        <v>16</v>
      </c>
      <c r="J106" s="2"/>
      <c r="K106" s="2"/>
      <c r="L106" s="2"/>
      <c r="M106" s="2"/>
      <c r="N106" s="2">
        <v>8</v>
      </c>
      <c r="O106" s="2"/>
      <c r="P106" s="2"/>
      <c r="Q106" s="2"/>
      <c r="R106" s="2"/>
      <c r="S106" s="2"/>
      <c r="T106" s="2"/>
      <c r="U106" s="29" t="str">
        <f t="shared" si="4"/>
        <v/>
      </c>
      <c r="V106" s="2"/>
      <c r="W106" s="4" t="str">
        <f t="shared" si="5"/>
        <v/>
      </c>
      <c r="X106" s="4" t="str">
        <f t="shared" si="6"/>
        <v>2</v>
      </c>
      <c r="Y106" s="4" t="str">
        <f t="shared" si="7"/>
        <v/>
      </c>
      <c r="Z106" s="2"/>
      <c r="AA106" s="2">
        <v>370</v>
      </c>
      <c r="AB106" s="2">
        <v>352</v>
      </c>
      <c r="AC106" s="4" t="s">
        <v>389</v>
      </c>
      <c r="AD106" s="2">
        <v>32000</v>
      </c>
      <c r="AE106" s="4">
        <v>4094</v>
      </c>
      <c r="AF106" s="4" t="s">
        <v>456</v>
      </c>
    </row>
    <row r="107" spans="1:32" x14ac:dyDescent="0.2">
      <c r="A107" s="2" t="str">
        <f t="shared" si="8"/>
        <v>C9200-24PXG-E-C9200-NM-2Q</v>
      </c>
      <c r="B107" s="2" t="s">
        <v>133</v>
      </c>
      <c r="C107" s="2" t="s">
        <v>472</v>
      </c>
      <c r="D107" s="2" t="s">
        <v>129</v>
      </c>
      <c r="E107" s="2" t="s">
        <v>462</v>
      </c>
      <c r="F107" s="2" t="s">
        <v>352</v>
      </c>
      <c r="G107" s="2"/>
      <c r="H107" s="2"/>
      <c r="I107" s="2">
        <v>16</v>
      </c>
      <c r="J107" s="2"/>
      <c r="K107" s="2"/>
      <c r="L107" s="2"/>
      <c r="M107" s="2"/>
      <c r="N107" s="2">
        <v>8</v>
      </c>
      <c r="O107" s="2"/>
      <c r="P107" s="2"/>
      <c r="Q107" s="2"/>
      <c r="R107" s="2"/>
      <c r="S107" s="2"/>
      <c r="T107" s="2"/>
      <c r="U107" s="29" t="str">
        <f t="shared" si="4"/>
        <v/>
      </c>
      <c r="V107" s="2"/>
      <c r="W107" s="4" t="str">
        <f t="shared" si="5"/>
        <v/>
      </c>
      <c r="X107" s="4" t="str">
        <f t="shared" si="6"/>
        <v/>
      </c>
      <c r="Y107" s="4" t="str">
        <f t="shared" si="7"/>
        <v>2</v>
      </c>
      <c r="Z107" s="2"/>
      <c r="AA107" s="2">
        <v>370</v>
      </c>
      <c r="AB107" s="2">
        <v>352</v>
      </c>
      <c r="AC107" s="4" t="s">
        <v>389</v>
      </c>
      <c r="AD107" s="2">
        <v>32000</v>
      </c>
      <c r="AE107" s="4">
        <v>4094</v>
      </c>
      <c r="AF107" s="4" t="s">
        <v>456</v>
      </c>
    </row>
    <row r="108" spans="1:32" x14ac:dyDescent="0.2">
      <c r="A108" s="2" t="str">
        <f>IF(D108="Fixed",C108,C108&amp;"-"&amp;E108)</f>
        <v>C9200-48T-E-C9200-NM-4G</v>
      </c>
      <c r="B108" s="2" t="s">
        <v>133</v>
      </c>
      <c r="C108" s="2" t="s">
        <v>67</v>
      </c>
      <c r="D108" s="2" t="s">
        <v>129</v>
      </c>
      <c r="E108" s="2" t="s">
        <v>146</v>
      </c>
      <c r="F108" s="2" t="s">
        <v>352</v>
      </c>
      <c r="G108" s="2">
        <v>48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9" t="str">
        <f t="shared" si="4"/>
        <v>4</v>
      </c>
      <c r="V108" s="2"/>
      <c r="W108" s="4" t="str">
        <f t="shared" si="5"/>
        <v/>
      </c>
      <c r="X108" s="4" t="str">
        <f t="shared" si="6"/>
        <v/>
      </c>
      <c r="Y108" s="4" t="str">
        <f t="shared" si="7"/>
        <v/>
      </c>
      <c r="Z108" s="2"/>
      <c r="AA108" s="2"/>
      <c r="AB108" s="2">
        <v>176</v>
      </c>
      <c r="AC108" s="4" t="s">
        <v>389</v>
      </c>
      <c r="AD108" s="2">
        <v>32000</v>
      </c>
      <c r="AE108" s="4">
        <v>4094</v>
      </c>
      <c r="AF108" s="2"/>
    </row>
    <row r="109" spans="1:32" x14ac:dyDescent="0.2">
      <c r="A109" s="2" t="str">
        <f>IF(D109="Fixed",C109,C109&amp;"-"&amp;E109)</f>
        <v>C9200-48T-E-C9200-NM-4X</v>
      </c>
      <c r="B109" s="2" t="s">
        <v>133</v>
      </c>
      <c r="C109" s="2" t="s">
        <v>67</v>
      </c>
      <c r="D109" s="2" t="s">
        <v>129</v>
      </c>
      <c r="E109" s="2" t="s">
        <v>147</v>
      </c>
      <c r="F109" s="2" t="s">
        <v>352</v>
      </c>
      <c r="G109" s="2">
        <v>48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9" t="str">
        <f t="shared" si="4"/>
        <v/>
      </c>
      <c r="V109" s="2"/>
      <c r="W109" s="4" t="str">
        <f t="shared" si="5"/>
        <v>4</v>
      </c>
      <c r="X109" s="4" t="str">
        <f t="shared" si="6"/>
        <v/>
      </c>
      <c r="Y109" s="4" t="str">
        <f t="shared" si="7"/>
        <v/>
      </c>
      <c r="Z109" s="2"/>
      <c r="AA109" s="2"/>
      <c r="AB109" s="2">
        <v>176</v>
      </c>
      <c r="AC109" s="4" t="s">
        <v>389</v>
      </c>
      <c r="AD109" s="2">
        <v>32000</v>
      </c>
      <c r="AE109" s="4">
        <v>4094</v>
      </c>
      <c r="AF109" s="2"/>
    </row>
    <row r="110" spans="1:32" x14ac:dyDescent="0.2">
      <c r="A110" s="2" t="str">
        <f>IF(D110="Fixed",C110,C110&amp;"-"&amp;E110)</f>
        <v>C9200-48P-E-C9200-NM-4G</v>
      </c>
      <c r="B110" s="2" t="s">
        <v>133</v>
      </c>
      <c r="C110" s="2" t="s">
        <v>68</v>
      </c>
      <c r="D110" s="2" t="s">
        <v>129</v>
      </c>
      <c r="E110" s="2" t="s">
        <v>146</v>
      </c>
      <c r="F110" s="2" t="s">
        <v>352</v>
      </c>
      <c r="G110" s="2"/>
      <c r="H110" s="2"/>
      <c r="I110" s="2">
        <v>48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9" t="str">
        <f t="shared" si="4"/>
        <v>4</v>
      </c>
      <c r="V110" s="2"/>
      <c r="W110" s="4" t="str">
        <f t="shared" si="5"/>
        <v/>
      </c>
      <c r="X110" s="4" t="str">
        <f t="shared" si="6"/>
        <v/>
      </c>
      <c r="Y110" s="4" t="str">
        <f t="shared" si="7"/>
        <v/>
      </c>
      <c r="Z110" s="2"/>
      <c r="AA110" s="2">
        <v>740</v>
      </c>
      <c r="AB110" s="2">
        <v>176</v>
      </c>
      <c r="AC110" s="4" t="s">
        <v>389</v>
      </c>
      <c r="AD110" s="2">
        <v>32000</v>
      </c>
      <c r="AE110" s="4">
        <v>4094</v>
      </c>
      <c r="AF110" s="4" t="s">
        <v>456</v>
      </c>
    </row>
    <row r="111" spans="1:32" s="1" customFormat="1" x14ac:dyDescent="0.2">
      <c r="A111" s="4" t="str">
        <f>IF(D111="Fixed",C111,C111&amp;"-"&amp;E111)</f>
        <v>C9200-48P-E-C9200-NM-4X</v>
      </c>
      <c r="B111" s="4" t="s">
        <v>133</v>
      </c>
      <c r="C111" s="4" t="s">
        <v>68</v>
      </c>
      <c r="D111" s="4" t="s">
        <v>129</v>
      </c>
      <c r="E111" s="4" t="s">
        <v>147</v>
      </c>
      <c r="F111" s="4" t="s">
        <v>352</v>
      </c>
      <c r="G111" s="4"/>
      <c r="H111" s="4"/>
      <c r="I111" s="4">
        <v>48</v>
      </c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29" t="str">
        <f t="shared" si="4"/>
        <v/>
      </c>
      <c r="V111" s="4"/>
      <c r="W111" s="4" t="str">
        <f t="shared" si="5"/>
        <v>4</v>
      </c>
      <c r="X111" s="4" t="str">
        <f t="shared" si="6"/>
        <v/>
      </c>
      <c r="Y111" s="4" t="str">
        <f t="shared" si="7"/>
        <v/>
      </c>
      <c r="Z111" s="4"/>
      <c r="AA111" s="4">
        <v>740</v>
      </c>
      <c r="AB111" s="4">
        <v>176</v>
      </c>
      <c r="AC111" s="4" t="s">
        <v>389</v>
      </c>
      <c r="AD111" s="4">
        <v>32000</v>
      </c>
      <c r="AE111" s="4">
        <v>4094</v>
      </c>
      <c r="AF111" s="4" t="s">
        <v>456</v>
      </c>
    </row>
    <row r="112" spans="1:32" s="1" customFormat="1" x14ac:dyDescent="0.2">
      <c r="A112" s="4" t="str">
        <f t="shared" ref="A112:A117" si="9">IF(D112="Fixed",C112,C112&amp;"-"&amp;E112)</f>
        <v>C9200-48PB-E-C9200-NM-4G</v>
      </c>
      <c r="B112" s="4" t="s">
        <v>133</v>
      </c>
      <c r="C112" s="4" t="s">
        <v>473</v>
      </c>
      <c r="D112" s="4" t="s">
        <v>129</v>
      </c>
      <c r="E112" s="4" t="s">
        <v>146</v>
      </c>
      <c r="F112" s="4" t="s">
        <v>352</v>
      </c>
      <c r="G112" s="4"/>
      <c r="H112" s="4"/>
      <c r="I112" s="4">
        <v>48</v>
      </c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29" t="str">
        <f t="shared" si="4"/>
        <v>4</v>
      </c>
      <c r="V112" s="4"/>
      <c r="W112" s="4" t="str">
        <f t="shared" si="5"/>
        <v/>
      </c>
      <c r="X112" s="4" t="str">
        <f t="shared" si="6"/>
        <v/>
      </c>
      <c r="Y112" s="4" t="str">
        <f t="shared" si="7"/>
        <v/>
      </c>
      <c r="Z112" s="4"/>
      <c r="AA112" s="4">
        <v>740</v>
      </c>
      <c r="AB112" s="4">
        <v>176</v>
      </c>
      <c r="AC112" s="4" t="s">
        <v>389</v>
      </c>
      <c r="AD112" s="4">
        <v>32000</v>
      </c>
      <c r="AE112" s="4">
        <v>4094</v>
      </c>
      <c r="AF112" s="4" t="s">
        <v>479</v>
      </c>
    </row>
    <row r="113" spans="1:32" s="1" customFormat="1" x14ac:dyDescent="0.2">
      <c r="A113" s="4" t="str">
        <f t="shared" si="9"/>
        <v>C9200-48PB-E-C9200-NM-4X</v>
      </c>
      <c r="B113" s="4" t="s">
        <v>133</v>
      </c>
      <c r="C113" s="4" t="s">
        <v>473</v>
      </c>
      <c r="D113" s="4" t="s">
        <v>129</v>
      </c>
      <c r="E113" s="2" t="s">
        <v>147</v>
      </c>
      <c r="F113" s="4" t="s">
        <v>352</v>
      </c>
      <c r="G113" s="4"/>
      <c r="H113" s="4"/>
      <c r="I113" s="4">
        <v>48</v>
      </c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29" t="str">
        <f t="shared" si="4"/>
        <v/>
      </c>
      <c r="V113" s="4"/>
      <c r="W113" s="4" t="str">
        <f t="shared" si="5"/>
        <v>4</v>
      </c>
      <c r="X113" s="4" t="str">
        <f t="shared" si="6"/>
        <v/>
      </c>
      <c r="Y113" s="4" t="str">
        <f t="shared" si="7"/>
        <v/>
      </c>
      <c r="Z113" s="4"/>
      <c r="AA113" s="4">
        <v>740</v>
      </c>
      <c r="AB113" s="4">
        <v>176</v>
      </c>
      <c r="AC113" s="4" t="s">
        <v>389</v>
      </c>
      <c r="AD113" s="2">
        <v>32000</v>
      </c>
      <c r="AE113" s="4">
        <v>4094</v>
      </c>
      <c r="AF113" s="4" t="s">
        <v>479</v>
      </c>
    </row>
    <row r="114" spans="1:32" s="1" customFormat="1" x14ac:dyDescent="0.2">
      <c r="A114" s="4" t="str">
        <f t="shared" si="9"/>
        <v>C9200-48PXG-E-C9200-NM-4G</v>
      </c>
      <c r="B114" s="4" t="s">
        <v>133</v>
      </c>
      <c r="C114" s="4" t="s">
        <v>474</v>
      </c>
      <c r="D114" s="4" t="s">
        <v>129</v>
      </c>
      <c r="E114" s="2" t="s">
        <v>146</v>
      </c>
      <c r="F114" s="4" t="s">
        <v>352</v>
      </c>
      <c r="G114" s="4"/>
      <c r="H114" s="4"/>
      <c r="I114" s="4">
        <v>40</v>
      </c>
      <c r="J114" s="4"/>
      <c r="K114" s="4"/>
      <c r="L114" s="4"/>
      <c r="M114" s="4"/>
      <c r="N114" s="4">
        <v>8</v>
      </c>
      <c r="O114" s="4"/>
      <c r="P114" s="4"/>
      <c r="Q114" s="4"/>
      <c r="R114" s="4"/>
      <c r="S114" s="4"/>
      <c r="T114" s="4"/>
      <c r="U114" s="29" t="str">
        <f t="shared" si="4"/>
        <v>4</v>
      </c>
      <c r="V114" s="4"/>
      <c r="W114" s="4" t="str">
        <f t="shared" si="5"/>
        <v/>
      </c>
      <c r="X114" s="4" t="str">
        <f t="shared" si="6"/>
        <v/>
      </c>
      <c r="Y114" s="4" t="str">
        <f t="shared" si="7"/>
        <v/>
      </c>
      <c r="Z114" s="4"/>
      <c r="AA114" s="4">
        <v>740</v>
      </c>
      <c r="AB114" s="4">
        <v>400</v>
      </c>
      <c r="AC114" s="4" t="s">
        <v>389</v>
      </c>
      <c r="AD114" s="2">
        <v>32000</v>
      </c>
      <c r="AE114" s="4">
        <v>4094</v>
      </c>
      <c r="AF114" s="4" t="s">
        <v>456</v>
      </c>
    </row>
    <row r="115" spans="1:32" s="1" customFormat="1" x14ac:dyDescent="0.2">
      <c r="A115" s="4" t="str">
        <f t="shared" si="9"/>
        <v>C9200-48PXG-E-C9200-NM-4X</v>
      </c>
      <c r="B115" s="4" t="s">
        <v>133</v>
      </c>
      <c r="C115" s="4" t="s">
        <v>474</v>
      </c>
      <c r="D115" s="4" t="s">
        <v>129</v>
      </c>
      <c r="E115" s="2" t="s">
        <v>147</v>
      </c>
      <c r="F115" s="4" t="s">
        <v>352</v>
      </c>
      <c r="G115" s="4"/>
      <c r="H115" s="4"/>
      <c r="I115" s="4">
        <v>40</v>
      </c>
      <c r="J115" s="4"/>
      <c r="K115" s="4"/>
      <c r="L115" s="4"/>
      <c r="M115" s="4"/>
      <c r="N115" s="4">
        <v>8</v>
      </c>
      <c r="O115" s="4"/>
      <c r="P115" s="4"/>
      <c r="Q115" s="4"/>
      <c r="R115" s="4"/>
      <c r="S115" s="4"/>
      <c r="T115" s="4"/>
      <c r="U115" s="29" t="str">
        <f t="shared" si="4"/>
        <v/>
      </c>
      <c r="V115" s="4"/>
      <c r="W115" s="4" t="str">
        <f t="shared" si="5"/>
        <v>4</v>
      </c>
      <c r="X115" s="4" t="str">
        <f t="shared" si="6"/>
        <v/>
      </c>
      <c r="Y115" s="4" t="str">
        <f t="shared" si="7"/>
        <v/>
      </c>
      <c r="Z115" s="4"/>
      <c r="AA115" s="4">
        <v>740</v>
      </c>
      <c r="AB115" s="4">
        <v>400</v>
      </c>
      <c r="AC115" s="4" t="s">
        <v>389</v>
      </c>
      <c r="AD115" s="2">
        <v>32000</v>
      </c>
      <c r="AE115" s="4">
        <v>4094</v>
      </c>
      <c r="AF115" s="4" t="s">
        <v>456</v>
      </c>
    </row>
    <row r="116" spans="1:32" s="1" customFormat="1" x14ac:dyDescent="0.2">
      <c r="A116" s="4" t="str">
        <f t="shared" si="9"/>
        <v>C9200-48PXG-E-C9200-NM-2Y</v>
      </c>
      <c r="B116" s="4" t="s">
        <v>133</v>
      </c>
      <c r="C116" s="4" t="s">
        <v>474</v>
      </c>
      <c r="D116" s="4" t="s">
        <v>129</v>
      </c>
      <c r="E116" s="2" t="s">
        <v>461</v>
      </c>
      <c r="F116" s="4" t="s">
        <v>352</v>
      </c>
      <c r="G116" s="4"/>
      <c r="H116" s="4"/>
      <c r="I116" s="4">
        <v>40</v>
      </c>
      <c r="J116" s="4"/>
      <c r="K116" s="4"/>
      <c r="L116" s="4"/>
      <c r="M116" s="4"/>
      <c r="N116" s="4">
        <v>8</v>
      </c>
      <c r="O116" s="4"/>
      <c r="P116" s="4"/>
      <c r="Q116" s="4"/>
      <c r="R116" s="4"/>
      <c r="S116" s="4"/>
      <c r="T116" s="4"/>
      <c r="U116" s="29" t="str">
        <f t="shared" si="4"/>
        <v/>
      </c>
      <c r="V116" s="4"/>
      <c r="W116" s="4" t="str">
        <f t="shared" si="5"/>
        <v/>
      </c>
      <c r="X116" s="4" t="str">
        <f t="shared" si="6"/>
        <v>2</v>
      </c>
      <c r="Y116" s="4" t="str">
        <f t="shared" si="7"/>
        <v/>
      </c>
      <c r="Z116" s="4"/>
      <c r="AA116" s="4">
        <v>740</v>
      </c>
      <c r="AB116" s="4">
        <v>400</v>
      </c>
      <c r="AC116" s="4" t="s">
        <v>389</v>
      </c>
      <c r="AD116" s="2">
        <v>32000</v>
      </c>
      <c r="AE116" s="4">
        <v>4094</v>
      </c>
      <c r="AF116" s="4" t="s">
        <v>456</v>
      </c>
    </row>
    <row r="117" spans="1:32" s="1" customFormat="1" x14ac:dyDescent="0.2">
      <c r="A117" s="4" t="str">
        <f t="shared" si="9"/>
        <v>C9200-48PXG-E-C9200-NM-2Q</v>
      </c>
      <c r="B117" s="4" t="s">
        <v>133</v>
      </c>
      <c r="C117" s="4" t="s">
        <v>474</v>
      </c>
      <c r="D117" s="4" t="s">
        <v>129</v>
      </c>
      <c r="E117" s="4" t="s">
        <v>462</v>
      </c>
      <c r="F117" s="4" t="s">
        <v>352</v>
      </c>
      <c r="G117" s="4"/>
      <c r="H117" s="4"/>
      <c r="I117" s="4">
        <v>40</v>
      </c>
      <c r="J117" s="4"/>
      <c r="K117" s="4"/>
      <c r="L117" s="4"/>
      <c r="M117" s="4"/>
      <c r="N117" s="4">
        <v>8</v>
      </c>
      <c r="O117" s="4"/>
      <c r="P117" s="4"/>
      <c r="Q117" s="4"/>
      <c r="R117" s="4"/>
      <c r="S117" s="4"/>
      <c r="T117" s="4"/>
      <c r="U117" s="29" t="str">
        <f t="shared" si="4"/>
        <v/>
      </c>
      <c r="V117" s="4"/>
      <c r="W117" s="4" t="str">
        <f t="shared" si="5"/>
        <v/>
      </c>
      <c r="X117" s="4" t="str">
        <f t="shared" si="6"/>
        <v/>
      </c>
      <c r="Y117" s="4" t="str">
        <f>IF(E117="C9200-NM-2Q","2","")</f>
        <v>2</v>
      </c>
      <c r="Z117" s="4"/>
      <c r="AA117" s="4">
        <v>740</v>
      </c>
      <c r="AB117" s="4">
        <v>400</v>
      </c>
      <c r="AC117" s="4" t="s">
        <v>389</v>
      </c>
      <c r="AD117" s="4">
        <v>32000</v>
      </c>
      <c r="AE117" s="4">
        <v>4094</v>
      </c>
      <c r="AF117" s="4" t="s">
        <v>456</v>
      </c>
    </row>
    <row r="118" spans="1:32" x14ac:dyDescent="0.2">
      <c r="A118" s="2" t="str">
        <f t="shared" si="3"/>
        <v>C9200L-24T-4G-A</v>
      </c>
      <c r="B118" s="2" t="s">
        <v>133</v>
      </c>
      <c r="C118" s="2" t="s">
        <v>69</v>
      </c>
      <c r="D118" s="2" t="s">
        <v>128</v>
      </c>
      <c r="E118" s="2"/>
      <c r="F118" s="2" t="s">
        <v>352</v>
      </c>
      <c r="G118" s="4">
        <v>24</v>
      </c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>
        <v>4</v>
      </c>
      <c r="V118" s="4"/>
      <c r="W118" s="4"/>
      <c r="X118" s="4"/>
      <c r="Y118" s="4"/>
      <c r="Z118" s="4"/>
      <c r="AA118" s="4"/>
      <c r="AB118" s="4">
        <v>56</v>
      </c>
      <c r="AC118" s="4" t="s">
        <v>389</v>
      </c>
      <c r="AD118" s="4">
        <v>16000</v>
      </c>
      <c r="AE118" s="4">
        <v>4094</v>
      </c>
      <c r="AF118" s="4"/>
    </row>
    <row r="119" spans="1:32" x14ac:dyDescent="0.2">
      <c r="A119" s="2" t="str">
        <f t="shared" si="3"/>
        <v>C9200L-24P-4G-A</v>
      </c>
      <c r="B119" s="2" t="s">
        <v>133</v>
      </c>
      <c r="C119" s="2" t="s">
        <v>70</v>
      </c>
      <c r="D119" s="2" t="s">
        <v>128</v>
      </c>
      <c r="E119" s="2"/>
      <c r="F119" s="2" t="s">
        <v>352</v>
      </c>
      <c r="G119" s="2"/>
      <c r="H119" s="2"/>
      <c r="I119" s="2">
        <v>24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>
        <v>4</v>
      </c>
      <c r="V119" s="2"/>
      <c r="W119" s="2"/>
      <c r="X119" s="2"/>
      <c r="Y119" s="2"/>
      <c r="Z119" s="2"/>
      <c r="AA119" s="2">
        <v>370</v>
      </c>
      <c r="AB119" s="2">
        <v>56</v>
      </c>
      <c r="AC119" s="4" t="s">
        <v>389</v>
      </c>
      <c r="AD119" s="2">
        <v>16000</v>
      </c>
      <c r="AE119" s="4">
        <v>4094</v>
      </c>
      <c r="AF119" s="2" t="s">
        <v>456</v>
      </c>
    </row>
    <row r="120" spans="1:32" x14ac:dyDescent="0.2">
      <c r="A120" s="2" t="str">
        <f t="shared" si="3"/>
        <v>C9200L-48T-4G-A</v>
      </c>
      <c r="B120" s="2" t="s">
        <v>133</v>
      </c>
      <c r="C120" s="2" t="s">
        <v>71</v>
      </c>
      <c r="D120" s="2" t="s">
        <v>128</v>
      </c>
      <c r="E120" s="2"/>
      <c r="F120" s="2" t="s">
        <v>352</v>
      </c>
      <c r="G120" s="2">
        <v>48</v>
      </c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>
        <v>4</v>
      </c>
      <c r="V120" s="2"/>
      <c r="W120" s="2"/>
      <c r="X120" s="2"/>
      <c r="Y120" s="2"/>
      <c r="Z120" s="2"/>
      <c r="AA120" s="2"/>
      <c r="AB120" s="2">
        <v>104</v>
      </c>
      <c r="AC120" s="4" t="s">
        <v>389</v>
      </c>
      <c r="AD120" s="2">
        <v>16000</v>
      </c>
      <c r="AE120" s="4">
        <v>4094</v>
      </c>
      <c r="AF120" s="2"/>
    </row>
    <row r="121" spans="1:32" x14ac:dyDescent="0.2">
      <c r="A121" s="2" t="str">
        <f t="shared" si="3"/>
        <v>C9200L-48P-4G-A</v>
      </c>
      <c r="B121" s="2" t="s">
        <v>133</v>
      </c>
      <c r="C121" s="2" t="s">
        <v>72</v>
      </c>
      <c r="D121" s="2" t="s">
        <v>128</v>
      </c>
      <c r="E121" s="2"/>
      <c r="F121" s="2" t="s">
        <v>352</v>
      </c>
      <c r="G121" s="2"/>
      <c r="H121" s="2"/>
      <c r="I121" s="2">
        <v>48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>
        <v>4</v>
      </c>
      <c r="V121" s="2"/>
      <c r="W121" s="2"/>
      <c r="X121" s="2"/>
      <c r="Y121" s="2"/>
      <c r="Z121" s="2"/>
      <c r="AA121" s="2">
        <v>740</v>
      </c>
      <c r="AB121" s="2">
        <v>104</v>
      </c>
      <c r="AC121" s="4" t="s">
        <v>389</v>
      </c>
      <c r="AD121" s="2">
        <v>16000</v>
      </c>
      <c r="AE121" s="4">
        <v>4094</v>
      </c>
      <c r="AF121" s="2" t="s">
        <v>456</v>
      </c>
    </row>
    <row r="122" spans="1:32" x14ac:dyDescent="0.2">
      <c r="A122" s="2" t="str">
        <f t="shared" si="3"/>
        <v>C9200L-24T-4X-A</v>
      </c>
      <c r="B122" s="2" t="s">
        <v>133</v>
      </c>
      <c r="C122" s="2" t="s">
        <v>73</v>
      </c>
      <c r="D122" s="2" t="s">
        <v>128</v>
      </c>
      <c r="E122" s="2"/>
      <c r="F122" s="2" t="s">
        <v>352</v>
      </c>
      <c r="G122" s="2">
        <v>24</v>
      </c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>
        <v>4</v>
      </c>
      <c r="X122" s="2"/>
      <c r="Y122" s="2"/>
      <c r="Z122" s="2"/>
      <c r="AA122" s="2"/>
      <c r="AB122" s="2">
        <v>128</v>
      </c>
      <c r="AC122" s="4" t="s">
        <v>389</v>
      </c>
      <c r="AD122" s="2">
        <v>16000</v>
      </c>
      <c r="AE122" s="4">
        <v>4094</v>
      </c>
      <c r="AF122" s="2"/>
    </row>
    <row r="123" spans="1:32" x14ac:dyDescent="0.2">
      <c r="A123" s="2" t="str">
        <f t="shared" si="3"/>
        <v>C9200L-24P-4X-A</v>
      </c>
      <c r="B123" s="2" t="s">
        <v>133</v>
      </c>
      <c r="C123" s="2" t="s">
        <v>74</v>
      </c>
      <c r="D123" s="2" t="s">
        <v>128</v>
      </c>
      <c r="E123" s="2"/>
      <c r="F123" s="2" t="s">
        <v>352</v>
      </c>
      <c r="G123" s="2"/>
      <c r="H123" s="2"/>
      <c r="I123" s="2">
        <v>24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>
        <v>4</v>
      </c>
      <c r="X123" s="2"/>
      <c r="Y123" s="2"/>
      <c r="Z123" s="2"/>
      <c r="AA123" s="2">
        <v>370</v>
      </c>
      <c r="AB123" s="2">
        <v>128</v>
      </c>
      <c r="AC123" s="4" t="s">
        <v>389</v>
      </c>
      <c r="AD123" s="2">
        <v>16000</v>
      </c>
      <c r="AE123" s="4">
        <v>4094</v>
      </c>
      <c r="AF123" s="2" t="s">
        <v>456</v>
      </c>
    </row>
    <row r="124" spans="1:32" x14ac:dyDescent="0.2">
      <c r="A124" s="2" t="str">
        <f t="shared" si="3"/>
        <v>C9200L-48T-4X-A</v>
      </c>
      <c r="B124" s="2" t="s">
        <v>133</v>
      </c>
      <c r="C124" s="2" t="s">
        <v>75</v>
      </c>
      <c r="D124" s="2" t="s">
        <v>128</v>
      </c>
      <c r="E124" s="2"/>
      <c r="F124" s="2" t="s">
        <v>352</v>
      </c>
      <c r="G124" s="2">
        <v>48</v>
      </c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>
        <v>4</v>
      </c>
      <c r="X124" s="2"/>
      <c r="Y124" s="2"/>
      <c r="Z124" s="2"/>
      <c r="AA124" s="2"/>
      <c r="AB124" s="2">
        <v>176</v>
      </c>
      <c r="AC124" s="4" t="s">
        <v>389</v>
      </c>
      <c r="AD124" s="2">
        <v>16000</v>
      </c>
      <c r="AE124" s="4">
        <v>4094</v>
      </c>
      <c r="AF124" s="2"/>
    </row>
    <row r="125" spans="1:32" x14ac:dyDescent="0.2">
      <c r="A125" s="2" t="str">
        <f t="shared" si="3"/>
        <v>C9200L-48P-4X-A</v>
      </c>
      <c r="B125" s="2" t="s">
        <v>133</v>
      </c>
      <c r="C125" s="2" t="s">
        <v>76</v>
      </c>
      <c r="D125" s="2" t="s">
        <v>128</v>
      </c>
      <c r="E125" s="2"/>
      <c r="F125" s="2" t="s">
        <v>352</v>
      </c>
      <c r="G125" s="4"/>
      <c r="H125" s="4"/>
      <c r="I125" s="4">
        <v>48</v>
      </c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>
        <v>4</v>
      </c>
      <c r="X125" s="4"/>
      <c r="Y125" s="4"/>
      <c r="Z125" s="4"/>
      <c r="AA125" s="4">
        <v>740</v>
      </c>
      <c r="AB125" s="4">
        <v>176</v>
      </c>
      <c r="AC125" s="4" t="s">
        <v>389</v>
      </c>
      <c r="AD125" s="4">
        <v>16000</v>
      </c>
      <c r="AE125" s="4">
        <v>4094</v>
      </c>
      <c r="AF125" s="4" t="s">
        <v>456</v>
      </c>
    </row>
    <row r="126" spans="1:32" s="1" customFormat="1" x14ac:dyDescent="0.2">
      <c r="A126" s="4" t="str">
        <f t="shared" ref="A126:A130" si="10">IF(D126="Fixed",C126,C126&amp;"-"&amp;E126)</f>
        <v>C9200L-24PXG-4X-A</v>
      </c>
      <c r="B126" s="4" t="s">
        <v>133</v>
      </c>
      <c r="C126" s="4" t="s">
        <v>467</v>
      </c>
      <c r="D126" s="4" t="s">
        <v>128</v>
      </c>
      <c r="E126" s="4"/>
      <c r="F126" s="4" t="s">
        <v>352</v>
      </c>
      <c r="G126" s="4"/>
      <c r="H126" s="4"/>
      <c r="I126" s="4">
        <v>16</v>
      </c>
      <c r="J126" s="4"/>
      <c r="K126" s="4"/>
      <c r="L126" s="4"/>
      <c r="M126" s="4"/>
      <c r="N126" s="4">
        <v>8</v>
      </c>
      <c r="O126" s="4"/>
      <c r="P126" s="4"/>
      <c r="Q126" s="4"/>
      <c r="R126" s="4"/>
      <c r="S126" s="4"/>
      <c r="T126" s="4"/>
      <c r="U126" s="4"/>
      <c r="V126" s="4"/>
      <c r="W126" s="4">
        <v>4</v>
      </c>
      <c r="X126" s="4"/>
      <c r="Y126" s="4"/>
      <c r="Z126" s="4"/>
      <c r="AA126" s="4">
        <v>370</v>
      </c>
      <c r="AB126" s="4">
        <v>272</v>
      </c>
      <c r="AC126" s="4" t="s">
        <v>389</v>
      </c>
      <c r="AD126" s="4">
        <v>16000</v>
      </c>
      <c r="AE126" s="4">
        <v>4094</v>
      </c>
      <c r="AF126" s="4" t="s">
        <v>456</v>
      </c>
    </row>
    <row r="127" spans="1:32" s="1" customFormat="1" x14ac:dyDescent="0.2">
      <c r="A127" s="4" t="str">
        <f t="shared" si="10"/>
        <v>C9200L-48PXG-4X-A</v>
      </c>
      <c r="B127" s="4" t="s">
        <v>133</v>
      </c>
      <c r="C127" s="4" t="s">
        <v>468</v>
      </c>
      <c r="D127" s="4" t="s">
        <v>128</v>
      </c>
      <c r="E127" s="4"/>
      <c r="F127" s="4" t="s">
        <v>352</v>
      </c>
      <c r="G127" s="4"/>
      <c r="H127" s="4"/>
      <c r="I127" s="4">
        <v>36</v>
      </c>
      <c r="J127" s="4"/>
      <c r="K127" s="4"/>
      <c r="L127" s="4"/>
      <c r="M127" s="4"/>
      <c r="N127" s="4">
        <v>12</v>
      </c>
      <c r="O127" s="4"/>
      <c r="P127" s="4"/>
      <c r="Q127" s="4"/>
      <c r="R127" s="4"/>
      <c r="S127" s="4"/>
      <c r="T127" s="4"/>
      <c r="U127" s="4"/>
      <c r="V127" s="4"/>
      <c r="W127" s="4">
        <v>4</v>
      </c>
      <c r="X127" s="4"/>
      <c r="Y127" s="4"/>
      <c r="Z127" s="4"/>
      <c r="AA127" s="4">
        <v>740</v>
      </c>
      <c r="AB127" s="4">
        <v>292</v>
      </c>
      <c r="AC127" s="4" t="s">
        <v>389</v>
      </c>
      <c r="AD127" s="4">
        <v>16000</v>
      </c>
      <c r="AE127" s="4">
        <v>4094</v>
      </c>
      <c r="AF127" s="4" t="s">
        <v>456</v>
      </c>
    </row>
    <row r="128" spans="1:32" s="1" customFormat="1" x14ac:dyDescent="0.2">
      <c r="A128" s="4" t="str">
        <f t="shared" si="10"/>
        <v>C9200L-24PXG-2Y-A</v>
      </c>
      <c r="B128" s="4" t="s">
        <v>133</v>
      </c>
      <c r="C128" s="4" t="s">
        <v>469</v>
      </c>
      <c r="D128" s="4" t="s">
        <v>128</v>
      </c>
      <c r="E128" s="4"/>
      <c r="F128" s="4" t="s">
        <v>352</v>
      </c>
      <c r="G128" s="4"/>
      <c r="H128" s="4"/>
      <c r="I128" s="4">
        <v>16</v>
      </c>
      <c r="J128" s="4"/>
      <c r="K128" s="4"/>
      <c r="L128" s="4"/>
      <c r="M128" s="4"/>
      <c r="N128" s="4">
        <v>8</v>
      </c>
      <c r="O128" s="4"/>
      <c r="P128" s="4"/>
      <c r="Q128" s="4"/>
      <c r="R128" s="4"/>
      <c r="S128" s="4"/>
      <c r="T128" s="4"/>
      <c r="U128" s="4"/>
      <c r="V128" s="4"/>
      <c r="W128" s="4"/>
      <c r="X128" s="4">
        <v>2</v>
      </c>
      <c r="Y128" s="4"/>
      <c r="Z128" s="4"/>
      <c r="AA128" s="4">
        <v>370</v>
      </c>
      <c r="AB128" s="4">
        <v>392</v>
      </c>
      <c r="AC128" s="4" t="s">
        <v>389</v>
      </c>
      <c r="AD128" s="4">
        <v>16000</v>
      </c>
      <c r="AE128" s="4">
        <v>4094</v>
      </c>
      <c r="AF128" s="4" t="s">
        <v>456</v>
      </c>
    </row>
    <row r="129" spans="1:32" s="1" customFormat="1" x14ac:dyDescent="0.2">
      <c r="A129" s="4" t="str">
        <f t="shared" si="10"/>
        <v>C9200L-48PXG-2Y-A</v>
      </c>
      <c r="B129" s="4" t="s">
        <v>133</v>
      </c>
      <c r="C129" s="4" t="s">
        <v>470</v>
      </c>
      <c r="D129" s="4" t="s">
        <v>128</v>
      </c>
      <c r="E129" s="4"/>
      <c r="F129" s="4" t="s">
        <v>352</v>
      </c>
      <c r="G129" s="4"/>
      <c r="H129" s="4"/>
      <c r="I129" s="4">
        <v>40</v>
      </c>
      <c r="J129" s="4"/>
      <c r="K129" s="4"/>
      <c r="L129" s="4"/>
      <c r="M129" s="4"/>
      <c r="N129" s="4">
        <v>8</v>
      </c>
      <c r="O129" s="4"/>
      <c r="P129" s="4"/>
      <c r="Q129" s="4"/>
      <c r="R129" s="4"/>
      <c r="S129" s="4"/>
      <c r="T129" s="4"/>
      <c r="U129" s="4"/>
      <c r="V129" s="4"/>
      <c r="W129" s="4"/>
      <c r="X129" s="4">
        <v>2</v>
      </c>
      <c r="Y129" s="4"/>
      <c r="Z129" s="4"/>
      <c r="AA129" s="4">
        <v>740</v>
      </c>
      <c r="AB129" s="4">
        <v>340</v>
      </c>
      <c r="AC129" s="4" t="s">
        <v>389</v>
      </c>
      <c r="AD129" s="4">
        <v>16000</v>
      </c>
      <c r="AE129" s="4">
        <v>4094</v>
      </c>
      <c r="AF129" s="4" t="s">
        <v>456</v>
      </c>
    </row>
    <row r="130" spans="1:32" s="1" customFormat="1" x14ac:dyDescent="0.2">
      <c r="A130" s="4" t="str">
        <f t="shared" si="10"/>
        <v>C9200-24T-A-C9200-NM-4G</v>
      </c>
      <c r="B130" s="4" t="s">
        <v>133</v>
      </c>
      <c r="C130" s="4" t="s">
        <v>77</v>
      </c>
      <c r="D130" s="4" t="s">
        <v>129</v>
      </c>
      <c r="E130" s="4" t="s">
        <v>146</v>
      </c>
      <c r="F130" s="4" t="s">
        <v>352</v>
      </c>
      <c r="G130" s="4">
        <v>24</v>
      </c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29" t="str">
        <f>IF(E130="C9200-NM-4G","4","")</f>
        <v>4</v>
      </c>
      <c r="V130" s="4"/>
      <c r="W130" s="4" t="str">
        <f>IF(E130="C9200-NM-4X","4","")</f>
        <v/>
      </c>
      <c r="X130" s="4" t="str">
        <f>IF(E130="C9200-NM-2Y","2","")</f>
        <v/>
      </c>
      <c r="Y130" s="4" t="str">
        <f>IF(E130="C9200-NM-2Q","2","")</f>
        <v/>
      </c>
      <c r="Z130" s="4"/>
      <c r="AA130" s="4"/>
      <c r="AB130" s="4">
        <v>128</v>
      </c>
      <c r="AC130" s="4" t="s">
        <v>389</v>
      </c>
      <c r="AD130" s="4">
        <v>32000</v>
      </c>
      <c r="AE130" s="4">
        <v>4094</v>
      </c>
      <c r="AF130" s="4"/>
    </row>
    <row r="131" spans="1:32" x14ac:dyDescent="0.2">
      <c r="A131" s="2" t="str">
        <f>IF(D131="Fixed",C131,C131&amp;"-"&amp;E131)</f>
        <v>C9200-24T-A-C9200-NM-4X</v>
      </c>
      <c r="B131" s="2" t="s">
        <v>133</v>
      </c>
      <c r="C131" s="2" t="s">
        <v>77</v>
      </c>
      <c r="D131" s="2" t="s">
        <v>129</v>
      </c>
      <c r="E131" s="2" t="s">
        <v>147</v>
      </c>
      <c r="F131" s="2" t="s">
        <v>352</v>
      </c>
      <c r="G131" s="2">
        <v>24</v>
      </c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9" t="str">
        <f t="shared" ref="U131:U149" si="11">IF(E131="C9200-NM-4G","4","")</f>
        <v/>
      </c>
      <c r="V131" s="2"/>
      <c r="W131" s="4" t="str">
        <f t="shared" ref="W131:W149" si="12">IF(E131="C9200-NM-4X","4","")</f>
        <v>4</v>
      </c>
      <c r="X131" s="4" t="str">
        <f t="shared" ref="X131:X149" si="13">IF(E131="C9200-NM-2Y","2","")</f>
        <v/>
      </c>
      <c r="Y131" s="4" t="str">
        <f t="shared" ref="Y131:Y148" si="14">IF(E131="C9200-NM-2Q","2","")</f>
        <v/>
      </c>
      <c r="Z131" s="2"/>
      <c r="AA131" s="2"/>
      <c r="AB131" s="2">
        <v>128</v>
      </c>
      <c r="AC131" s="4" t="s">
        <v>389</v>
      </c>
      <c r="AD131" s="2">
        <v>32000</v>
      </c>
      <c r="AE131" s="4">
        <v>4094</v>
      </c>
      <c r="AF131" s="2"/>
    </row>
    <row r="132" spans="1:32" x14ac:dyDescent="0.2">
      <c r="A132" s="2" t="str">
        <f t="shared" ref="A132" si="15">IF(D132="Fixed",C132,C132&amp;"-"&amp;E132)</f>
        <v>C9200-24P-A-C9200-NM-4G</v>
      </c>
      <c r="B132" s="2" t="s">
        <v>133</v>
      </c>
      <c r="C132" s="2" t="s">
        <v>78</v>
      </c>
      <c r="D132" s="2" t="s">
        <v>129</v>
      </c>
      <c r="E132" s="2" t="s">
        <v>146</v>
      </c>
      <c r="F132" s="2" t="s">
        <v>352</v>
      </c>
      <c r="G132" s="2"/>
      <c r="H132" s="2"/>
      <c r="I132" s="2">
        <v>24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9" t="str">
        <f t="shared" si="11"/>
        <v>4</v>
      </c>
      <c r="V132" s="2"/>
      <c r="W132" s="4" t="str">
        <f t="shared" si="12"/>
        <v/>
      </c>
      <c r="X132" s="4" t="str">
        <f t="shared" si="13"/>
        <v/>
      </c>
      <c r="Y132" s="4" t="str">
        <f t="shared" si="14"/>
        <v/>
      </c>
      <c r="Z132" s="2"/>
      <c r="AA132" s="2">
        <v>370</v>
      </c>
      <c r="AB132" s="2">
        <v>128</v>
      </c>
      <c r="AC132" s="4" t="s">
        <v>389</v>
      </c>
      <c r="AD132" s="2">
        <v>32000</v>
      </c>
      <c r="AE132" s="4">
        <v>4094</v>
      </c>
      <c r="AF132" s="4" t="s">
        <v>456</v>
      </c>
    </row>
    <row r="133" spans="1:32" x14ac:dyDescent="0.2">
      <c r="A133" s="2" t="str">
        <f>IF(D133="Fixed",C133,C133&amp;"-"&amp;E133)</f>
        <v>C9200-24P-A-C9200-NM-4X</v>
      </c>
      <c r="B133" s="2" t="s">
        <v>133</v>
      </c>
      <c r="C133" s="2" t="s">
        <v>78</v>
      </c>
      <c r="D133" s="2" t="s">
        <v>129</v>
      </c>
      <c r="E133" s="2" t="s">
        <v>147</v>
      </c>
      <c r="F133" s="2" t="s">
        <v>352</v>
      </c>
      <c r="G133" s="2"/>
      <c r="H133" s="2"/>
      <c r="I133" s="2">
        <v>24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9" t="str">
        <f t="shared" si="11"/>
        <v/>
      </c>
      <c r="V133" s="2"/>
      <c r="W133" s="4" t="str">
        <f t="shared" si="12"/>
        <v>4</v>
      </c>
      <c r="X133" s="4" t="str">
        <f t="shared" si="13"/>
        <v/>
      </c>
      <c r="Y133" s="4" t="str">
        <f t="shared" si="14"/>
        <v/>
      </c>
      <c r="Z133" s="2"/>
      <c r="AA133" s="30">
        <v>370</v>
      </c>
      <c r="AB133" s="30">
        <v>128</v>
      </c>
      <c r="AC133" s="4" t="s">
        <v>389</v>
      </c>
      <c r="AD133" s="2">
        <v>32000</v>
      </c>
      <c r="AE133" s="4">
        <v>4094</v>
      </c>
      <c r="AF133" s="4" t="s">
        <v>456</v>
      </c>
    </row>
    <row r="134" spans="1:32" x14ac:dyDescent="0.2">
      <c r="A134" s="2" t="str">
        <f t="shared" ref="A134:A139" si="16">IF(D134="Fixed",C134,C134&amp;"-"&amp;E134)</f>
        <v>C9200-24PB-A-C9200-NM-4G</v>
      </c>
      <c r="B134" s="2" t="s">
        <v>133</v>
      </c>
      <c r="C134" s="2" t="s">
        <v>475</v>
      </c>
      <c r="D134" s="2" t="s">
        <v>129</v>
      </c>
      <c r="E134" s="2" t="s">
        <v>146</v>
      </c>
      <c r="F134" s="2" t="s">
        <v>352</v>
      </c>
      <c r="G134" s="2"/>
      <c r="H134" s="2"/>
      <c r="I134" s="2">
        <v>24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9" t="str">
        <f t="shared" si="11"/>
        <v>4</v>
      </c>
      <c r="V134" s="2"/>
      <c r="W134" s="4" t="str">
        <f t="shared" si="12"/>
        <v/>
      </c>
      <c r="X134" s="4" t="str">
        <f t="shared" si="13"/>
        <v/>
      </c>
      <c r="Y134" s="4" t="str">
        <f t="shared" si="14"/>
        <v/>
      </c>
      <c r="Z134" s="2"/>
      <c r="AA134" s="2">
        <v>370</v>
      </c>
      <c r="AB134" s="2">
        <v>128</v>
      </c>
      <c r="AC134" s="4" t="s">
        <v>389</v>
      </c>
      <c r="AD134" s="2">
        <v>32000</v>
      </c>
      <c r="AE134" s="4">
        <v>4094</v>
      </c>
      <c r="AF134" s="4" t="s">
        <v>479</v>
      </c>
    </row>
    <row r="135" spans="1:32" x14ac:dyDescent="0.2">
      <c r="A135" s="2" t="str">
        <f t="shared" si="16"/>
        <v>C9200-24PB-A-C9200-NM-4X</v>
      </c>
      <c r="B135" s="2" t="s">
        <v>133</v>
      </c>
      <c r="C135" s="2" t="s">
        <v>475</v>
      </c>
      <c r="D135" s="2" t="s">
        <v>129</v>
      </c>
      <c r="E135" s="2" t="s">
        <v>147</v>
      </c>
      <c r="F135" s="2" t="s">
        <v>352</v>
      </c>
      <c r="G135" s="2"/>
      <c r="H135" s="2"/>
      <c r="I135" s="2">
        <v>24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9" t="str">
        <f t="shared" si="11"/>
        <v/>
      </c>
      <c r="V135" s="2"/>
      <c r="W135" s="4" t="str">
        <f t="shared" si="12"/>
        <v>4</v>
      </c>
      <c r="X135" s="4" t="str">
        <f t="shared" si="13"/>
        <v/>
      </c>
      <c r="Y135" s="4" t="str">
        <f t="shared" si="14"/>
        <v/>
      </c>
      <c r="Z135" s="2"/>
      <c r="AA135" s="2">
        <v>370</v>
      </c>
      <c r="AB135" s="2">
        <v>128</v>
      </c>
      <c r="AC135" s="4" t="s">
        <v>389</v>
      </c>
      <c r="AD135" s="2">
        <v>32000</v>
      </c>
      <c r="AE135" s="4">
        <v>4094</v>
      </c>
      <c r="AF135" s="4" t="s">
        <v>479</v>
      </c>
    </row>
    <row r="136" spans="1:32" x14ac:dyDescent="0.2">
      <c r="A136" s="2" t="str">
        <f t="shared" si="16"/>
        <v>C9200-24PXG-A-C9200-NM-4G</v>
      </c>
      <c r="B136" s="2" t="s">
        <v>133</v>
      </c>
      <c r="C136" s="2" t="s">
        <v>476</v>
      </c>
      <c r="D136" s="2" t="s">
        <v>129</v>
      </c>
      <c r="E136" s="2" t="s">
        <v>146</v>
      </c>
      <c r="F136" s="2" t="s">
        <v>352</v>
      </c>
      <c r="G136" s="2"/>
      <c r="H136" s="2"/>
      <c r="I136" s="2">
        <v>16</v>
      </c>
      <c r="J136" s="2"/>
      <c r="K136" s="2"/>
      <c r="L136" s="2"/>
      <c r="M136" s="2"/>
      <c r="N136" s="2">
        <v>8</v>
      </c>
      <c r="O136" s="2"/>
      <c r="P136" s="2"/>
      <c r="Q136" s="2"/>
      <c r="R136" s="2"/>
      <c r="S136" s="2"/>
      <c r="T136" s="2"/>
      <c r="U136" s="29" t="str">
        <f t="shared" si="11"/>
        <v>4</v>
      </c>
      <c r="V136" s="2"/>
      <c r="W136" s="4" t="str">
        <f t="shared" si="12"/>
        <v/>
      </c>
      <c r="X136" s="4" t="str">
        <f t="shared" si="13"/>
        <v/>
      </c>
      <c r="Y136" s="4" t="str">
        <f t="shared" si="14"/>
        <v/>
      </c>
      <c r="Z136" s="2"/>
      <c r="AA136" s="2">
        <v>370</v>
      </c>
      <c r="AB136" s="2">
        <v>352</v>
      </c>
      <c r="AC136" s="4" t="s">
        <v>389</v>
      </c>
      <c r="AD136" s="2">
        <v>32000</v>
      </c>
      <c r="AE136" s="4">
        <v>4094</v>
      </c>
      <c r="AF136" s="4" t="s">
        <v>456</v>
      </c>
    </row>
    <row r="137" spans="1:32" x14ac:dyDescent="0.2">
      <c r="A137" s="2" t="str">
        <f t="shared" si="16"/>
        <v>C9200-24PXG-A-C9200-NM-4X</v>
      </c>
      <c r="B137" s="2" t="s">
        <v>133</v>
      </c>
      <c r="C137" s="2" t="s">
        <v>476</v>
      </c>
      <c r="D137" s="2" t="s">
        <v>129</v>
      </c>
      <c r="E137" s="2" t="s">
        <v>147</v>
      </c>
      <c r="F137" s="2" t="s">
        <v>352</v>
      </c>
      <c r="G137" s="2"/>
      <c r="H137" s="2"/>
      <c r="I137" s="2">
        <v>16</v>
      </c>
      <c r="J137" s="2"/>
      <c r="K137" s="2"/>
      <c r="L137" s="2"/>
      <c r="M137" s="2"/>
      <c r="N137" s="2">
        <v>8</v>
      </c>
      <c r="O137" s="2"/>
      <c r="P137" s="2"/>
      <c r="Q137" s="2"/>
      <c r="R137" s="2"/>
      <c r="S137" s="2"/>
      <c r="T137" s="2"/>
      <c r="U137" s="29" t="str">
        <f t="shared" si="11"/>
        <v/>
      </c>
      <c r="V137" s="2"/>
      <c r="W137" s="4" t="str">
        <f t="shared" si="12"/>
        <v>4</v>
      </c>
      <c r="X137" s="4" t="str">
        <f t="shared" si="13"/>
        <v/>
      </c>
      <c r="Y137" s="4" t="str">
        <f t="shared" si="14"/>
        <v/>
      </c>
      <c r="Z137" s="2"/>
      <c r="AA137" s="2">
        <v>370</v>
      </c>
      <c r="AB137" s="2">
        <v>352</v>
      </c>
      <c r="AC137" s="4" t="s">
        <v>389</v>
      </c>
      <c r="AD137" s="2">
        <v>32000</v>
      </c>
      <c r="AE137" s="4">
        <v>4094</v>
      </c>
      <c r="AF137" s="4" t="s">
        <v>456</v>
      </c>
    </row>
    <row r="138" spans="1:32" x14ac:dyDescent="0.2">
      <c r="A138" s="2" t="str">
        <f t="shared" si="16"/>
        <v>C9200-24PXG-A-C9200-NM-2Y</v>
      </c>
      <c r="B138" s="2" t="s">
        <v>133</v>
      </c>
      <c r="C138" s="2" t="s">
        <v>476</v>
      </c>
      <c r="D138" s="2" t="s">
        <v>129</v>
      </c>
      <c r="E138" s="2" t="s">
        <v>461</v>
      </c>
      <c r="F138" s="2" t="s">
        <v>352</v>
      </c>
      <c r="G138" s="2"/>
      <c r="H138" s="2"/>
      <c r="I138" s="2">
        <v>16</v>
      </c>
      <c r="J138" s="2"/>
      <c r="K138" s="2"/>
      <c r="L138" s="2"/>
      <c r="M138" s="2"/>
      <c r="N138" s="2">
        <v>8</v>
      </c>
      <c r="O138" s="2"/>
      <c r="P138" s="2"/>
      <c r="Q138" s="2"/>
      <c r="R138" s="2"/>
      <c r="S138" s="2"/>
      <c r="T138" s="2"/>
      <c r="U138" s="29" t="str">
        <f t="shared" si="11"/>
        <v/>
      </c>
      <c r="V138" s="2"/>
      <c r="W138" s="4" t="str">
        <f t="shared" si="12"/>
        <v/>
      </c>
      <c r="X138" s="4" t="str">
        <f t="shared" si="13"/>
        <v>2</v>
      </c>
      <c r="Y138" s="4" t="str">
        <f t="shared" si="14"/>
        <v/>
      </c>
      <c r="Z138" s="2"/>
      <c r="AA138" s="2">
        <v>370</v>
      </c>
      <c r="AB138" s="2">
        <v>352</v>
      </c>
      <c r="AC138" s="4" t="s">
        <v>389</v>
      </c>
      <c r="AD138" s="2">
        <v>32000</v>
      </c>
      <c r="AE138" s="4">
        <v>4094</v>
      </c>
      <c r="AF138" s="4" t="s">
        <v>456</v>
      </c>
    </row>
    <row r="139" spans="1:32" x14ac:dyDescent="0.2">
      <c r="A139" s="2" t="str">
        <f t="shared" si="16"/>
        <v>C9200-24PXG-A-C9200-NM-2Q</v>
      </c>
      <c r="B139" s="2" t="s">
        <v>133</v>
      </c>
      <c r="C139" s="2" t="s">
        <v>476</v>
      </c>
      <c r="D139" s="2" t="s">
        <v>129</v>
      </c>
      <c r="E139" s="2" t="s">
        <v>462</v>
      </c>
      <c r="F139" s="2" t="s">
        <v>352</v>
      </c>
      <c r="G139" s="2"/>
      <c r="H139" s="2"/>
      <c r="I139" s="2">
        <v>16</v>
      </c>
      <c r="J139" s="2"/>
      <c r="K139" s="2"/>
      <c r="L139" s="2"/>
      <c r="M139" s="2"/>
      <c r="N139" s="2">
        <v>8</v>
      </c>
      <c r="O139" s="2"/>
      <c r="P139" s="2"/>
      <c r="Q139" s="2"/>
      <c r="R139" s="2"/>
      <c r="S139" s="2"/>
      <c r="T139" s="2"/>
      <c r="U139" s="29" t="str">
        <f t="shared" si="11"/>
        <v/>
      </c>
      <c r="V139" s="2"/>
      <c r="W139" s="4" t="str">
        <f t="shared" si="12"/>
        <v/>
      </c>
      <c r="X139" s="4" t="str">
        <f t="shared" si="13"/>
        <v/>
      </c>
      <c r="Y139" s="4" t="str">
        <f t="shared" si="14"/>
        <v>2</v>
      </c>
      <c r="Z139" s="2"/>
      <c r="AA139" s="2">
        <v>370</v>
      </c>
      <c r="AB139" s="2">
        <v>352</v>
      </c>
      <c r="AC139" s="4" t="s">
        <v>389</v>
      </c>
      <c r="AD139" s="2">
        <v>32000</v>
      </c>
      <c r="AE139" s="4">
        <v>4094</v>
      </c>
      <c r="AF139" s="4" t="s">
        <v>456</v>
      </c>
    </row>
    <row r="140" spans="1:32" x14ac:dyDescent="0.2">
      <c r="A140" s="2" t="str">
        <f>IF(D140="Fixed",C140,C140&amp;"-"&amp;E140)</f>
        <v>C9200-48T-A-C9200-NM-4G</v>
      </c>
      <c r="B140" s="2" t="s">
        <v>133</v>
      </c>
      <c r="C140" s="2" t="s">
        <v>79</v>
      </c>
      <c r="D140" s="2" t="s">
        <v>129</v>
      </c>
      <c r="E140" s="2" t="s">
        <v>146</v>
      </c>
      <c r="F140" s="2" t="s">
        <v>352</v>
      </c>
      <c r="G140" s="2">
        <v>48</v>
      </c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9" t="str">
        <f t="shared" si="11"/>
        <v>4</v>
      </c>
      <c r="V140" s="2"/>
      <c r="W140" s="4" t="str">
        <f t="shared" si="12"/>
        <v/>
      </c>
      <c r="X140" s="4" t="str">
        <f t="shared" si="13"/>
        <v/>
      </c>
      <c r="Y140" s="4" t="str">
        <f t="shared" si="14"/>
        <v/>
      </c>
      <c r="Z140" s="2"/>
      <c r="AA140" s="2"/>
      <c r="AB140" s="2">
        <v>176</v>
      </c>
      <c r="AC140" s="4" t="s">
        <v>389</v>
      </c>
      <c r="AD140" s="2">
        <v>32000</v>
      </c>
      <c r="AE140" s="4">
        <v>4094</v>
      </c>
      <c r="AF140" s="2"/>
    </row>
    <row r="141" spans="1:32" x14ac:dyDescent="0.2">
      <c r="A141" s="2" t="str">
        <f>IF(D141="Fixed",C141,C141&amp;"-"&amp;E141)</f>
        <v>C9200-48T-A-C9200-NM-4X</v>
      </c>
      <c r="B141" s="2" t="s">
        <v>133</v>
      </c>
      <c r="C141" s="2" t="s">
        <v>79</v>
      </c>
      <c r="D141" s="2" t="s">
        <v>129</v>
      </c>
      <c r="E141" s="2" t="s">
        <v>147</v>
      </c>
      <c r="F141" s="2" t="s">
        <v>352</v>
      </c>
      <c r="G141" s="2">
        <v>48</v>
      </c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9" t="str">
        <f t="shared" si="11"/>
        <v/>
      </c>
      <c r="V141" s="2"/>
      <c r="W141" s="4" t="str">
        <f t="shared" si="12"/>
        <v>4</v>
      </c>
      <c r="X141" s="4" t="str">
        <f t="shared" si="13"/>
        <v/>
      </c>
      <c r="Y141" s="4" t="str">
        <f t="shared" si="14"/>
        <v/>
      </c>
      <c r="Z141" s="2"/>
      <c r="AA141" s="2"/>
      <c r="AB141" s="2">
        <v>176</v>
      </c>
      <c r="AC141" s="4" t="s">
        <v>389</v>
      </c>
      <c r="AD141" s="2">
        <v>32000</v>
      </c>
      <c r="AE141" s="4">
        <v>4094</v>
      </c>
      <c r="AF141" s="2"/>
    </row>
    <row r="142" spans="1:32" x14ac:dyDescent="0.2">
      <c r="A142" s="2" t="str">
        <f>IF(D142="Fixed",C142,C142&amp;"-"&amp;E142)</f>
        <v>C9200-48P-A-C9200-NM-4G</v>
      </c>
      <c r="B142" s="2" t="s">
        <v>133</v>
      </c>
      <c r="C142" s="2" t="s">
        <v>80</v>
      </c>
      <c r="D142" s="2" t="s">
        <v>129</v>
      </c>
      <c r="E142" s="2" t="s">
        <v>146</v>
      </c>
      <c r="F142" s="2" t="s">
        <v>352</v>
      </c>
      <c r="G142" s="2"/>
      <c r="H142" s="2"/>
      <c r="I142" s="2">
        <v>48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9" t="str">
        <f t="shared" si="11"/>
        <v>4</v>
      </c>
      <c r="V142" s="2"/>
      <c r="W142" s="4" t="str">
        <f t="shared" si="12"/>
        <v/>
      </c>
      <c r="X142" s="4" t="str">
        <f t="shared" si="13"/>
        <v/>
      </c>
      <c r="Y142" s="4" t="str">
        <f t="shared" si="14"/>
        <v/>
      </c>
      <c r="Z142" s="2"/>
      <c r="AA142" s="2">
        <v>740</v>
      </c>
      <c r="AB142" s="2">
        <v>176</v>
      </c>
      <c r="AC142" s="4" t="s">
        <v>389</v>
      </c>
      <c r="AD142" s="2">
        <v>32000</v>
      </c>
      <c r="AE142" s="4">
        <v>4094</v>
      </c>
      <c r="AF142" s="4" t="s">
        <v>456</v>
      </c>
    </row>
    <row r="143" spans="1:32" s="1" customFormat="1" x14ac:dyDescent="0.2">
      <c r="A143" s="4" t="str">
        <f>IF(D143="Fixed",C143,C143&amp;"-"&amp;E143)</f>
        <v>C9200-48P-A-C9200-NM-4X</v>
      </c>
      <c r="B143" s="4" t="s">
        <v>133</v>
      </c>
      <c r="C143" s="4" t="s">
        <v>80</v>
      </c>
      <c r="D143" s="4" t="s">
        <v>129</v>
      </c>
      <c r="E143" s="4" t="s">
        <v>147</v>
      </c>
      <c r="F143" s="4" t="s">
        <v>352</v>
      </c>
      <c r="G143" s="4"/>
      <c r="H143" s="4"/>
      <c r="I143" s="4">
        <v>48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29" t="str">
        <f t="shared" si="11"/>
        <v/>
      </c>
      <c r="V143" s="4"/>
      <c r="W143" s="4" t="str">
        <f t="shared" si="12"/>
        <v>4</v>
      </c>
      <c r="X143" s="4" t="str">
        <f t="shared" si="13"/>
        <v/>
      </c>
      <c r="Y143" s="4" t="str">
        <f t="shared" si="14"/>
        <v/>
      </c>
      <c r="Z143" s="4"/>
      <c r="AA143" s="4">
        <v>740</v>
      </c>
      <c r="AB143" s="4">
        <v>176</v>
      </c>
      <c r="AC143" s="4" t="s">
        <v>389</v>
      </c>
      <c r="AD143" s="4">
        <v>32000</v>
      </c>
      <c r="AE143" s="4">
        <v>4094</v>
      </c>
      <c r="AF143" s="4" t="s">
        <v>456</v>
      </c>
    </row>
    <row r="144" spans="1:32" s="1" customFormat="1" x14ac:dyDescent="0.2">
      <c r="A144" s="4" t="str">
        <f t="shared" ref="A144:A149" si="17">IF(D144="Fixed",C144,C144&amp;"-"&amp;E144)</f>
        <v>C9200-48PB-A-C9200-NM-4G</v>
      </c>
      <c r="B144" s="4" t="s">
        <v>133</v>
      </c>
      <c r="C144" s="4" t="s">
        <v>477</v>
      </c>
      <c r="D144" s="4" t="s">
        <v>129</v>
      </c>
      <c r="E144" s="4" t="s">
        <v>146</v>
      </c>
      <c r="F144" s="4" t="s">
        <v>352</v>
      </c>
      <c r="G144" s="4"/>
      <c r="H144" s="4"/>
      <c r="I144" s="4">
        <v>48</v>
      </c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29" t="str">
        <f t="shared" si="11"/>
        <v>4</v>
      </c>
      <c r="V144" s="4"/>
      <c r="W144" s="4" t="str">
        <f t="shared" si="12"/>
        <v/>
      </c>
      <c r="X144" s="4" t="str">
        <f t="shared" si="13"/>
        <v/>
      </c>
      <c r="Y144" s="4" t="str">
        <f t="shared" si="14"/>
        <v/>
      </c>
      <c r="Z144" s="4"/>
      <c r="AA144" s="4">
        <v>740</v>
      </c>
      <c r="AB144" s="4">
        <v>176</v>
      </c>
      <c r="AC144" s="4" t="s">
        <v>389</v>
      </c>
      <c r="AD144" s="4">
        <v>32000</v>
      </c>
      <c r="AE144" s="4">
        <v>4094</v>
      </c>
      <c r="AF144" s="4" t="s">
        <v>479</v>
      </c>
    </row>
    <row r="145" spans="1:32" s="1" customFormat="1" x14ac:dyDescent="0.2">
      <c r="A145" s="4" t="str">
        <f t="shared" si="17"/>
        <v>C9200-48PB-A-C9200-NM-4X</v>
      </c>
      <c r="B145" s="4" t="s">
        <v>133</v>
      </c>
      <c r="C145" s="4" t="s">
        <v>477</v>
      </c>
      <c r="D145" s="4" t="s">
        <v>129</v>
      </c>
      <c r="E145" s="2" t="s">
        <v>147</v>
      </c>
      <c r="F145" s="4" t="s">
        <v>352</v>
      </c>
      <c r="G145" s="4"/>
      <c r="H145" s="4"/>
      <c r="I145" s="4">
        <v>48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29" t="str">
        <f t="shared" si="11"/>
        <v/>
      </c>
      <c r="V145" s="4"/>
      <c r="W145" s="4" t="str">
        <f t="shared" si="12"/>
        <v>4</v>
      </c>
      <c r="X145" s="4" t="str">
        <f t="shared" si="13"/>
        <v/>
      </c>
      <c r="Y145" s="4" t="str">
        <f t="shared" si="14"/>
        <v/>
      </c>
      <c r="Z145" s="4"/>
      <c r="AA145" s="4">
        <v>740</v>
      </c>
      <c r="AB145" s="4">
        <v>176</v>
      </c>
      <c r="AC145" s="4" t="s">
        <v>389</v>
      </c>
      <c r="AD145" s="2">
        <v>32000</v>
      </c>
      <c r="AE145" s="4">
        <v>4094</v>
      </c>
      <c r="AF145" s="4" t="s">
        <v>479</v>
      </c>
    </row>
    <row r="146" spans="1:32" s="1" customFormat="1" x14ac:dyDescent="0.2">
      <c r="A146" s="4" t="str">
        <f t="shared" si="17"/>
        <v>C9200-48PXG-A-C9200-NM-4G</v>
      </c>
      <c r="B146" s="4" t="s">
        <v>133</v>
      </c>
      <c r="C146" s="4" t="s">
        <v>478</v>
      </c>
      <c r="D146" s="4" t="s">
        <v>129</v>
      </c>
      <c r="E146" s="2" t="s">
        <v>146</v>
      </c>
      <c r="F146" s="4" t="s">
        <v>352</v>
      </c>
      <c r="G146" s="4"/>
      <c r="H146" s="4"/>
      <c r="I146" s="4">
        <v>40</v>
      </c>
      <c r="J146" s="4"/>
      <c r="K146" s="4"/>
      <c r="L146" s="4"/>
      <c r="M146" s="4"/>
      <c r="N146" s="4">
        <v>8</v>
      </c>
      <c r="O146" s="4"/>
      <c r="P146" s="4"/>
      <c r="Q146" s="4"/>
      <c r="R146" s="4"/>
      <c r="S146" s="4"/>
      <c r="T146" s="4"/>
      <c r="U146" s="29" t="str">
        <f t="shared" si="11"/>
        <v>4</v>
      </c>
      <c r="V146" s="4"/>
      <c r="W146" s="4" t="str">
        <f t="shared" si="12"/>
        <v/>
      </c>
      <c r="X146" s="4" t="str">
        <f t="shared" si="13"/>
        <v/>
      </c>
      <c r="Y146" s="4" t="str">
        <f t="shared" si="14"/>
        <v/>
      </c>
      <c r="Z146" s="4"/>
      <c r="AA146" s="4">
        <v>740</v>
      </c>
      <c r="AB146" s="4">
        <v>400</v>
      </c>
      <c r="AC146" s="4" t="s">
        <v>389</v>
      </c>
      <c r="AD146" s="2">
        <v>32000</v>
      </c>
      <c r="AE146" s="4">
        <v>4094</v>
      </c>
      <c r="AF146" s="4" t="s">
        <v>456</v>
      </c>
    </row>
    <row r="147" spans="1:32" s="1" customFormat="1" x14ac:dyDescent="0.2">
      <c r="A147" s="4" t="str">
        <f t="shared" si="17"/>
        <v>C9200-48PXG-A-C9200-NM-4X</v>
      </c>
      <c r="B147" s="4" t="s">
        <v>133</v>
      </c>
      <c r="C147" s="4" t="s">
        <v>478</v>
      </c>
      <c r="D147" s="4" t="s">
        <v>129</v>
      </c>
      <c r="E147" s="2" t="s">
        <v>147</v>
      </c>
      <c r="F147" s="4" t="s">
        <v>352</v>
      </c>
      <c r="G147" s="4"/>
      <c r="H147" s="4"/>
      <c r="I147" s="4">
        <v>40</v>
      </c>
      <c r="J147" s="4"/>
      <c r="K147" s="4"/>
      <c r="L147" s="4"/>
      <c r="M147" s="4"/>
      <c r="N147" s="4">
        <v>8</v>
      </c>
      <c r="O147" s="4"/>
      <c r="P147" s="4"/>
      <c r="Q147" s="4"/>
      <c r="R147" s="4"/>
      <c r="S147" s="4"/>
      <c r="T147" s="4"/>
      <c r="U147" s="29" t="str">
        <f t="shared" si="11"/>
        <v/>
      </c>
      <c r="V147" s="4"/>
      <c r="W147" s="4" t="str">
        <f t="shared" si="12"/>
        <v>4</v>
      </c>
      <c r="X147" s="4" t="str">
        <f t="shared" si="13"/>
        <v/>
      </c>
      <c r="Y147" s="4" t="str">
        <f t="shared" si="14"/>
        <v/>
      </c>
      <c r="Z147" s="4"/>
      <c r="AA147" s="4">
        <v>740</v>
      </c>
      <c r="AB147" s="4">
        <v>400</v>
      </c>
      <c r="AC147" s="4" t="s">
        <v>389</v>
      </c>
      <c r="AD147" s="2">
        <v>32000</v>
      </c>
      <c r="AE147" s="4">
        <v>4094</v>
      </c>
      <c r="AF147" s="4" t="s">
        <v>456</v>
      </c>
    </row>
    <row r="148" spans="1:32" s="1" customFormat="1" x14ac:dyDescent="0.2">
      <c r="A148" s="4" t="str">
        <f t="shared" si="17"/>
        <v>C9200-48PXG-A-C9200-NM-2Y</v>
      </c>
      <c r="B148" s="4" t="s">
        <v>133</v>
      </c>
      <c r="C148" s="4" t="s">
        <v>478</v>
      </c>
      <c r="D148" s="4" t="s">
        <v>129</v>
      </c>
      <c r="E148" s="2" t="s">
        <v>461</v>
      </c>
      <c r="F148" s="4" t="s">
        <v>352</v>
      </c>
      <c r="G148" s="4"/>
      <c r="H148" s="4"/>
      <c r="I148" s="4">
        <v>40</v>
      </c>
      <c r="J148" s="4"/>
      <c r="K148" s="4"/>
      <c r="L148" s="4"/>
      <c r="M148" s="4"/>
      <c r="N148" s="4">
        <v>8</v>
      </c>
      <c r="O148" s="4"/>
      <c r="P148" s="4"/>
      <c r="Q148" s="4"/>
      <c r="R148" s="4"/>
      <c r="S148" s="4"/>
      <c r="T148" s="4"/>
      <c r="U148" s="29" t="str">
        <f t="shared" si="11"/>
        <v/>
      </c>
      <c r="V148" s="4"/>
      <c r="W148" s="4" t="str">
        <f t="shared" si="12"/>
        <v/>
      </c>
      <c r="X148" s="4" t="str">
        <f t="shared" si="13"/>
        <v>2</v>
      </c>
      <c r="Y148" s="4" t="str">
        <f t="shared" si="14"/>
        <v/>
      </c>
      <c r="Z148" s="4"/>
      <c r="AA148" s="4">
        <v>740</v>
      </c>
      <c r="AB148" s="4">
        <v>400</v>
      </c>
      <c r="AC148" s="4" t="s">
        <v>389</v>
      </c>
      <c r="AD148" s="2">
        <v>32000</v>
      </c>
      <c r="AE148" s="4">
        <v>4094</v>
      </c>
      <c r="AF148" s="4" t="s">
        <v>456</v>
      </c>
    </row>
    <row r="149" spans="1:32" s="1" customFormat="1" x14ac:dyDescent="0.2">
      <c r="A149" s="4" t="str">
        <f t="shared" si="17"/>
        <v>C9200-48PXG-A-C9200-NM-2Q</v>
      </c>
      <c r="B149" s="4" t="s">
        <v>133</v>
      </c>
      <c r="C149" s="4" t="s">
        <v>478</v>
      </c>
      <c r="D149" s="4" t="s">
        <v>129</v>
      </c>
      <c r="E149" s="4" t="s">
        <v>462</v>
      </c>
      <c r="F149" s="4" t="s">
        <v>352</v>
      </c>
      <c r="G149" s="4"/>
      <c r="H149" s="4"/>
      <c r="I149" s="4">
        <v>40</v>
      </c>
      <c r="J149" s="4"/>
      <c r="K149" s="4"/>
      <c r="L149" s="4"/>
      <c r="M149" s="4"/>
      <c r="N149" s="4">
        <v>8</v>
      </c>
      <c r="O149" s="4"/>
      <c r="P149" s="4"/>
      <c r="Q149" s="4"/>
      <c r="R149" s="4"/>
      <c r="S149" s="4"/>
      <c r="T149" s="4"/>
      <c r="U149" s="29" t="str">
        <f t="shared" si="11"/>
        <v/>
      </c>
      <c r="V149" s="4"/>
      <c r="W149" s="4" t="str">
        <f t="shared" si="12"/>
        <v/>
      </c>
      <c r="X149" s="4" t="str">
        <f t="shared" si="13"/>
        <v/>
      </c>
      <c r="Y149" s="4" t="str">
        <f>IF(E149="C9200-NM-2Q","2","")</f>
        <v>2</v>
      </c>
      <c r="Z149" s="4"/>
      <c r="AA149" s="4">
        <v>740</v>
      </c>
      <c r="AB149" s="4">
        <v>400</v>
      </c>
      <c r="AC149" s="4" t="s">
        <v>389</v>
      </c>
      <c r="AD149" s="4">
        <v>32000</v>
      </c>
      <c r="AE149" s="4">
        <v>4094</v>
      </c>
      <c r="AF149" s="4" t="s">
        <v>456</v>
      </c>
    </row>
    <row r="150" spans="1:32" s="1" customFormat="1" x14ac:dyDescent="0.2">
      <c r="A150" s="4" t="str">
        <f t="shared" ref="A150:A182" si="18">IF(D150="Fixed",C150,C150&amp;"-"&amp;E150)</f>
        <v>C9300L-24T-4G-E</v>
      </c>
      <c r="B150" s="4" t="s">
        <v>134</v>
      </c>
      <c r="C150" s="4" t="s">
        <v>81</v>
      </c>
      <c r="D150" s="4" t="s">
        <v>128</v>
      </c>
      <c r="E150" s="4"/>
      <c r="F150" s="4" t="s">
        <v>352</v>
      </c>
      <c r="G150" s="4">
        <v>24</v>
      </c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>
        <v>4</v>
      </c>
      <c r="V150" s="4"/>
      <c r="W150" s="4"/>
      <c r="X150" s="4"/>
      <c r="Y150" s="4"/>
      <c r="Z150" s="4"/>
      <c r="AA150" s="4"/>
      <c r="AB150" s="4">
        <v>56</v>
      </c>
      <c r="AC150" s="4" t="s">
        <v>389</v>
      </c>
      <c r="AD150" s="4">
        <v>32000</v>
      </c>
      <c r="AE150" s="4">
        <v>4094</v>
      </c>
      <c r="AF150" s="4"/>
    </row>
    <row r="151" spans="1:32" x14ac:dyDescent="0.2">
      <c r="A151" s="2" t="str">
        <f t="shared" si="18"/>
        <v>C9300L-24T-4X-E</v>
      </c>
      <c r="B151" s="2" t="s">
        <v>134</v>
      </c>
      <c r="C151" s="2" t="s">
        <v>82</v>
      </c>
      <c r="D151" s="2" t="s">
        <v>128</v>
      </c>
      <c r="E151" s="2"/>
      <c r="F151" s="2" t="s">
        <v>352</v>
      </c>
      <c r="G151" s="2">
        <v>24</v>
      </c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>
        <v>4</v>
      </c>
      <c r="X151" s="2"/>
      <c r="Y151" s="2"/>
      <c r="Z151" s="2"/>
      <c r="AA151" s="2"/>
      <c r="AB151" s="2">
        <v>128</v>
      </c>
      <c r="AC151" s="4" t="s">
        <v>389</v>
      </c>
      <c r="AD151" s="4">
        <v>32000</v>
      </c>
      <c r="AE151" s="2">
        <v>4094</v>
      </c>
      <c r="AF151" s="2"/>
    </row>
    <row r="152" spans="1:32" x14ac:dyDescent="0.2">
      <c r="A152" s="2" t="str">
        <f t="shared" si="18"/>
        <v>C9300L-48T-4G-E</v>
      </c>
      <c r="B152" s="2" t="s">
        <v>134</v>
      </c>
      <c r="C152" s="2" t="s">
        <v>83</v>
      </c>
      <c r="D152" s="2" t="s">
        <v>128</v>
      </c>
      <c r="E152" s="2"/>
      <c r="F152" s="2" t="s">
        <v>352</v>
      </c>
      <c r="G152" s="2">
        <v>48</v>
      </c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>
        <v>4</v>
      </c>
      <c r="V152" s="2"/>
      <c r="W152" s="2"/>
      <c r="X152" s="2"/>
      <c r="Y152" s="2"/>
      <c r="Z152" s="2"/>
      <c r="AA152" s="2"/>
      <c r="AB152" s="2">
        <v>104</v>
      </c>
      <c r="AC152" s="4" t="s">
        <v>389</v>
      </c>
      <c r="AD152" s="4">
        <v>32000</v>
      </c>
      <c r="AE152" s="2">
        <v>4094</v>
      </c>
      <c r="AF152" s="2"/>
    </row>
    <row r="153" spans="1:32" x14ac:dyDescent="0.2">
      <c r="A153" s="2" t="str">
        <f t="shared" si="18"/>
        <v>C9300L-48T-4X-E</v>
      </c>
      <c r="B153" s="2" t="s">
        <v>134</v>
      </c>
      <c r="C153" s="2" t="s">
        <v>84</v>
      </c>
      <c r="D153" s="2" t="s">
        <v>128</v>
      </c>
      <c r="E153" s="2"/>
      <c r="F153" s="2" t="s">
        <v>352</v>
      </c>
      <c r="G153" s="2">
        <v>48</v>
      </c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>
        <v>4</v>
      </c>
      <c r="X153" s="2"/>
      <c r="Y153" s="2"/>
      <c r="Z153" s="2"/>
      <c r="AA153" s="2"/>
      <c r="AB153" s="2">
        <v>176</v>
      </c>
      <c r="AC153" s="4" t="s">
        <v>389</v>
      </c>
      <c r="AD153" s="4">
        <v>32000</v>
      </c>
      <c r="AE153" s="2">
        <v>4094</v>
      </c>
      <c r="AF153" s="2"/>
    </row>
    <row r="154" spans="1:32" x14ac:dyDescent="0.2">
      <c r="A154" s="2" t="str">
        <f t="shared" si="18"/>
        <v>C9300L-24P-4G-E</v>
      </c>
      <c r="B154" s="2" t="s">
        <v>134</v>
      </c>
      <c r="C154" s="2" t="s">
        <v>85</v>
      </c>
      <c r="D154" s="2" t="s">
        <v>128</v>
      </c>
      <c r="E154" s="2"/>
      <c r="F154" s="2" t="s">
        <v>352</v>
      </c>
      <c r="G154" s="2"/>
      <c r="H154" s="2"/>
      <c r="I154" s="2">
        <v>24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>
        <v>4</v>
      </c>
      <c r="V154" s="2"/>
      <c r="W154" s="2"/>
      <c r="X154" s="2"/>
      <c r="Y154" s="2"/>
      <c r="Z154" s="2"/>
      <c r="AA154" s="2">
        <v>505</v>
      </c>
      <c r="AB154" s="2">
        <v>56</v>
      </c>
      <c r="AC154" s="4" t="s">
        <v>389</v>
      </c>
      <c r="AD154" s="4">
        <v>32000</v>
      </c>
      <c r="AE154" s="2">
        <v>4094</v>
      </c>
      <c r="AF154" s="4" t="s">
        <v>456</v>
      </c>
    </row>
    <row r="155" spans="1:32" x14ac:dyDescent="0.2">
      <c r="A155" s="2" t="str">
        <f t="shared" si="18"/>
        <v>C9300L-24P-4X-E</v>
      </c>
      <c r="B155" s="2" t="s">
        <v>134</v>
      </c>
      <c r="C155" s="2" t="s">
        <v>86</v>
      </c>
      <c r="D155" s="2" t="s">
        <v>128</v>
      </c>
      <c r="E155" s="2"/>
      <c r="F155" s="2" t="s">
        <v>352</v>
      </c>
      <c r="G155" s="2"/>
      <c r="H155" s="2"/>
      <c r="I155" s="2">
        <v>24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>
        <v>4</v>
      </c>
      <c r="X155" s="2"/>
      <c r="Y155" s="2"/>
      <c r="Z155" s="2"/>
      <c r="AA155" s="2">
        <v>505</v>
      </c>
      <c r="AB155" s="2">
        <v>128</v>
      </c>
      <c r="AC155" s="4" t="s">
        <v>389</v>
      </c>
      <c r="AD155" s="4">
        <v>32000</v>
      </c>
      <c r="AE155" s="2">
        <v>4094</v>
      </c>
      <c r="AF155" s="4" t="s">
        <v>456</v>
      </c>
    </row>
    <row r="156" spans="1:32" x14ac:dyDescent="0.2">
      <c r="A156" s="2" t="str">
        <f t="shared" si="18"/>
        <v>C9300L-48P-4G-E</v>
      </c>
      <c r="B156" s="2" t="s">
        <v>134</v>
      </c>
      <c r="C156" s="2" t="s">
        <v>87</v>
      </c>
      <c r="D156" s="2" t="s">
        <v>128</v>
      </c>
      <c r="E156" s="2"/>
      <c r="F156" s="2" t="s">
        <v>352</v>
      </c>
      <c r="G156" s="2"/>
      <c r="H156" s="2"/>
      <c r="I156" s="2">
        <v>48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>
        <v>4</v>
      </c>
      <c r="V156" s="2"/>
      <c r="W156" s="2"/>
      <c r="X156" s="2"/>
      <c r="Y156" s="2"/>
      <c r="Z156" s="2"/>
      <c r="AA156" s="2">
        <v>505</v>
      </c>
      <c r="AB156" s="2">
        <v>104</v>
      </c>
      <c r="AC156" s="4" t="s">
        <v>389</v>
      </c>
      <c r="AD156" s="4">
        <v>32000</v>
      </c>
      <c r="AE156" s="2">
        <v>4094</v>
      </c>
      <c r="AF156" s="4" t="s">
        <v>456</v>
      </c>
    </row>
    <row r="157" spans="1:32" x14ac:dyDescent="0.2">
      <c r="A157" s="2" t="str">
        <f t="shared" si="18"/>
        <v>C9300L-48P-4X-E</v>
      </c>
      <c r="B157" s="2" t="s">
        <v>134</v>
      </c>
      <c r="C157" s="2" t="s">
        <v>88</v>
      </c>
      <c r="D157" s="2" t="s">
        <v>128</v>
      </c>
      <c r="E157" s="2"/>
      <c r="F157" s="2" t="s">
        <v>352</v>
      </c>
      <c r="G157" s="2"/>
      <c r="H157" s="2"/>
      <c r="I157" s="2">
        <v>48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>
        <v>4</v>
      </c>
      <c r="X157" s="2"/>
      <c r="Y157" s="2"/>
      <c r="Z157" s="2"/>
      <c r="AA157" s="2">
        <v>505</v>
      </c>
      <c r="AB157" s="2">
        <v>176</v>
      </c>
      <c r="AC157" s="4" t="s">
        <v>389</v>
      </c>
      <c r="AD157" s="4">
        <v>32000</v>
      </c>
      <c r="AE157" s="2">
        <v>4094</v>
      </c>
      <c r="AF157" s="4" t="s">
        <v>456</v>
      </c>
    </row>
    <row r="158" spans="1:32" x14ac:dyDescent="0.2">
      <c r="A158" s="2" t="str">
        <f t="shared" si="18"/>
        <v>C9300L-48PF-4G-E</v>
      </c>
      <c r="B158" s="2" t="s">
        <v>134</v>
      </c>
      <c r="C158" s="2" t="s">
        <v>158</v>
      </c>
      <c r="D158" s="2" t="s">
        <v>128</v>
      </c>
      <c r="E158" s="2"/>
      <c r="F158" s="2" t="s">
        <v>352</v>
      </c>
      <c r="G158" s="2"/>
      <c r="H158" s="2"/>
      <c r="I158" s="2">
        <v>48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>
        <v>4</v>
      </c>
      <c r="V158" s="2"/>
      <c r="W158" s="2"/>
      <c r="X158" s="2"/>
      <c r="Y158" s="2"/>
      <c r="Z158" s="2"/>
      <c r="AA158" s="2">
        <v>890</v>
      </c>
      <c r="AB158" s="2">
        <v>104</v>
      </c>
      <c r="AC158" s="4" t="s">
        <v>389</v>
      </c>
      <c r="AD158" s="4">
        <v>32000</v>
      </c>
      <c r="AE158" s="2">
        <v>4094</v>
      </c>
      <c r="AF158" s="4" t="s">
        <v>456</v>
      </c>
    </row>
    <row r="159" spans="1:32" s="1" customFormat="1" x14ac:dyDescent="0.2">
      <c r="A159" s="4" t="str">
        <f>IF(D159="Fixed",C159,C159&amp;"-"&amp;E159)</f>
        <v>C9300L-48PF-4X-E</v>
      </c>
      <c r="B159" s="4" t="s">
        <v>134</v>
      </c>
      <c r="C159" s="4" t="s">
        <v>159</v>
      </c>
      <c r="D159" s="4" t="s">
        <v>128</v>
      </c>
      <c r="E159" s="4"/>
      <c r="F159" s="4" t="s">
        <v>352</v>
      </c>
      <c r="G159" s="4"/>
      <c r="H159" s="4"/>
      <c r="I159" s="4">
        <v>48</v>
      </c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>
        <v>4</v>
      </c>
      <c r="X159" s="4"/>
      <c r="Y159" s="4"/>
      <c r="Z159" s="4"/>
      <c r="AA159" s="4">
        <v>890</v>
      </c>
      <c r="AB159" s="4">
        <v>176</v>
      </c>
      <c r="AC159" s="4" t="s">
        <v>389</v>
      </c>
      <c r="AD159" s="4">
        <v>32000</v>
      </c>
      <c r="AE159" s="2">
        <v>4094</v>
      </c>
      <c r="AF159" s="4" t="s">
        <v>456</v>
      </c>
    </row>
    <row r="160" spans="1:32" x14ac:dyDescent="0.2">
      <c r="A160" s="2" t="str">
        <f t="shared" ref="A160:A163" si="19">IF(D160="Fixed",C160,C160&amp;"-"&amp;E160)</f>
        <v>C9300L-24UXG-4X-E</v>
      </c>
      <c r="B160" s="2" t="s">
        <v>134</v>
      </c>
      <c r="C160" s="4" t="s">
        <v>488</v>
      </c>
      <c r="D160" s="2" t="s">
        <v>128</v>
      </c>
      <c r="E160" s="2"/>
      <c r="F160" s="2" t="s">
        <v>352</v>
      </c>
      <c r="G160" s="2"/>
      <c r="H160" s="2"/>
      <c r="I160" s="2"/>
      <c r="J160" s="2">
        <v>16</v>
      </c>
      <c r="K160" s="2"/>
      <c r="L160" s="2"/>
      <c r="M160" s="2"/>
      <c r="N160" s="2"/>
      <c r="O160" s="2">
        <v>8</v>
      </c>
      <c r="P160" s="2"/>
      <c r="Q160" s="2"/>
      <c r="R160" s="2"/>
      <c r="S160" s="2"/>
      <c r="T160" s="2"/>
      <c r="U160" s="2"/>
      <c r="V160" s="2"/>
      <c r="W160" s="2">
        <v>4</v>
      </c>
      <c r="X160" s="2"/>
      <c r="Y160" s="2"/>
      <c r="Z160" s="2"/>
      <c r="AA160" s="2">
        <v>880</v>
      </c>
      <c r="AB160" s="2">
        <v>272</v>
      </c>
      <c r="AC160" s="4" t="s">
        <v>389</v>
      </c>
      <c r="AD160" s="4">
        <v>32000</v>
      </c>
      <c r="AE160" s="2">
        <v>4094</v>
      </c>
      <c r="AF160" s="4" t="s">
        <v>456</v>
      </c>
    </row>
    <row r="161" spans="1:32" x14ac:dyDescent="0.2">
      <c r="A161" s="2" t="str">
        <f t="shared" si="19"/>
        <v>C9300L-24UXG-2Q-E</v>
      </c>
      <c r="B161" s="2" t="s">
        <v>134</v>
      </c>
      <c r="C161" s="4" t="s">
        <v>489</v>
      </c>
      <c r="D161" s="2" t="s">
        <v>128</v>
      </c>
      <c r="E161" s="2"/>
      <c r="F161" s="2" t="s">
        <v>352</v>
      </c>
      <c r="G161" s="2"/>
      <c r="H161" s="2"/>
      <c r="I161" s="2"/>
      <c r="J161" s="2">
        <v>16</v>
      </c>
      <c r="K161" s="2"/>
      <c r="L161" s="2"/>
      <c r="M161" s="2"/>
      <c r="N161" s="2"/>
      <c r="O161" s="2">
        <v>8</v>
      </c>
      <c r="P161" s="2"/>
      <c r="Q161" s="2"/>
      <c r="R161" s="2"/>
      <c r="S161" s="2"/>
      <c r="T161" s="2"/>
      <c r="U161" s="2"/>
      <c r="V161" s="2"/>
      <c r="W161" s="2"/>
      <c r="X161" s="2"/>
      <c r="Y161" s="2">
        <v>2</v>
      </c>
      <c r="Z161" s="2"/>
      <c r="AA161" s="2">
        <v>722</v>
      </c>
      <c r="AB161" s="2">
        <v>352</v>
      </c>
      <c r="AC161" s="4" t="s">
        <v>389</v>
      </c>
      <c r="AD161" s="4">
        <v>32000</v>
      </c>
      <c r="AE161" s="2">
        <v>4094</v>
      </c>
      <c r="AF161" s="4" t="s">
        <v>456</v>
      </c>
    </row>
    <row r="162" spans="1:32" x14ac:dyDescent="0.2">
      <c r="A162" s="2" t="str">
        <f t="shared" si="19"/>
        <v>C9300L-48UXG-4X-E</v>
      </c>
      <c r="B162" s="2" t="s">
        <v>134</v>
      </c>
      <c r="C162" s="4" t="s">
        <v>490</v>
      </c>
      <c r="D162" s="2" t="s">
        <v>128</v>
      </c>
      <c r="E162" s="2"/>
      <c r="F162" s="2" t="s">
        <v>352</v>
      </c>
      <c r="G162" s="2"/>
      <c r="H162" s="2"/>
      <c r="I162" s="2"/>
      <c r="J162" s="2">
        <v>36</v>
      </c>
      <c r="K162" s="2"/>
      <c r="L162" s="2"/>
      <c r="M162" s="2"/>
      <c r="N162" s="2"/>
      <c r="O162" s="2">
        <v>12</v>
      </c>
      <c r="P162" s="2"/>
      <c r="Q162" s="2"/>
      <c r="R162" s="2"/>
      <c r="S162" s="2"/>
      <c r="T162" s="2"/>
      <c r="U162" s="2"/>
      <c r="V162" s="2"/>
      <c r="W162" s="2">
        <v>4</v>
      </c>
      <c r="X162" s="2"/>
      <c r="Y162" s="2"/>
      <c r="Z162" s="2"/>
      <c r="AA162" s="2">
        <v>675</v>
      </c>
      <c r="AB162" s="2">
        <v>392</v>
      </c>
      <c r="AC162" s="4" t="s">
        <v>389</v>
      </c>
      <c r="AD162" s="4">
        <v>32000</v>
      </c>
      <c r="AE162" s="2">
        <v>4094</v>
      </c>
      <c r="AF162" s="4" t="s">
        <v>456</v>
      </c>
    </row>
    <row r="163" spans="1:32" s="1" customFormat="1" x14ac:dyDescent="0.2">
      <c r="A163" s="4" t="str">
        <f t="shared" si="19"/>
        <v>C9300L-48UXG-2Q-E</v>
      </c>
      <c r="B163" s="4" t="s">
        <v>134</v>
      </c>
      <c r="C163" s="4" t="s">
        <v>491</v>
      </c>
      <c r="D163" s="4" t="s">
        <v>128</v>
      </c>
      <c r="E163" s="4"/>
      <c r="F163" s="4" t="s">
        <v>352</v>
      </c>
      <c r="G163" s="4"/>
      <c r="H163" s="4"/>
      <c r="I163" s="4"/>
      <c r="J163" s="4">
        <v>36</v>
      </c>
      <c r="K163" s="4"/>
      <c r="L163" s="4"/>
      <c r="M163" s="4"/>
      <c r="N163" s="4"/>
      <c r="O163" s="4">
        <v>12</v>
      </c>
      <c r="P163" s="4"/>
      <c r="Q163" s="4"/>
      <c r="R163" s="4"/>
      <c r="S163" s="4"/>
      <c r="T163" s="4"/>
      <c r="U163" s="4"/>
      <c r="V163" s="4"/>
      <c r="W163" s="4"/>
      <c r="X163" s="4"/>
      <c r="Y163" s="4">
        <v>2</v>
      </c>
      <c r="Z163" s="4"/>
      <c r="AA163" s="4">
        <v>675</v>
      </c>
      <c r="AB163" s="4">
        <v>472</v>
      </c>
      <c r="AC163" s="4" t="s">
        <v>389</v>
      </c>
      <c r="AD163" s="4">
        <v>32000</v>
      </c>
      <c r="AE163" s="4">
        <v>4094</v>
      </c>
      <c r="AF163" s="4" t="s">
        <v>456</v>
      </c>
    </row>
    <row r="164" spans="1:32" s="1" customFormat="1" x14ac:dyDescent="0.2">
      <c r="A164" s="4" t="str">
        <f t="shared" ref="A164:A174" si="20">IF(D164="Fixed",C164,C164&amp;"-"&amp;E164)</f>
        <v>C9300-24T-E-C9300-NM-4G</v>
      </c>
      <c r="B164" s="4" t="s">
        <v>134</v>
      </c>
      <c r="C164" s="4" t="s">
        <v>105</v>
      </c>
      <c r="D164" s="4" t="s">
        <v>129</v>
      </c>
      <c r="E164" s="4" t="s">
        <v>137</v>
      </c>
      <c r="F164" s="4" t="s">
        <v>352</v>
      </c>
      <c r="G164" s="4">
        <v>24</v>
      </c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29" t="str">
        <f>IF(E164="C9300-NM-4G","4","")</f>
        <v>4</v>
      </c>
      <c r="V164" s="4" t="str">
        <f>IF(E164="C9300-NM-4M","4","")</f>
        <v/>
      </c>
      <c r="W164" s="4" t="str">
        <f>IF(E164="C9300-NM-8X","8","")</f>
        <v/>
      </c>
      <c r="X164" s="4" t="str">
        <f>IF(E164="C9300-NM-2Y","2","")</f>
        <v/>
      </c>
      <c r="Y164" s="4" t="str">
        <f>IF(E164="C9300-NM-2Q","2","")</f>
        <v/>
      </c>
      <c r="Z164" s="4"/>
      <c r="AA164" s="4"/>
      <c r="AB164" s="4">
        <v>208</v>
      </c>
      <c r="AC164" s="4" t="s">
        <v>389</v>
      </c>
      <c r="AD164" s="4">
        <v>32000</v>
      </c>
      <c r="AE164" s="4">
        <v>4094</v>
      </c>
      <c r="AF164" s="4"/>
    </row>
    <row r="165" spans="1:32" x14ac:dyDescent="0.2">
      <c r="A165" s="2" t="str">
        <f t="shared" si="20"/>
        <v>C9300-24T-E-C9300-NM-4M</v>
      </c>
      <c r="B165" s="2" t="s">
        <v>134</v>
      </c>
      <c r="C165" s="2" t="s">
        <v>105</v>
      </c>
      <c r="D165" s="2" t="s">
        <v>129</v>
      </c>
      <c r="E165" s="2" t="s">
        <v>138</v>
      </c>
      <c r="F165" s="2" t="s">
        <v>352</v>
      </c>
      <c r="G165" s="2">
        <v>24</v>
      </c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9" t="str">
        <f t="shared" ref="U165:U228" si="21">IF(E165="C9300-NM-4G","4","")</f>
        <v/>
      </c>
      <c r="V165" s="4" t="str">
        <f t="shared" ref="V165:V228" si="22">IF(E165="C9300-NM-4M","4","")</f>
        <v>4</v>
      </c>
      <c r="W165" s="4" t="str">
        <f t="shared" ref="W165:W228" si="23">IF(E165="C9300-NM-8X","8","")</f>
        <v/>
      </c>
      <c r="X165" s="4" t="str">
        <f t="shared" ref="X165:X228" si="24">IF(E165="C9300-NM-2Y","2","")</f>
        <v/>
      </c>
      <c r="Y165" s="4" t="str">
        <f t="shared" ref="Y165:Y228" si="25">IF(E165="C9300-NM-2Q","2","")</f>
        <v/>
      </c>
      <c r="Z165" s="2"/>
      <c r="AA165" s="2"/>
      <c r="AB165" s="2">
        <v>208</v>
      </c>
      <c r="AC165" s="4" t="s">
        <v>389</v>
      </c>
      <c r="AD165" s="4">
        <v>32000</v>
      </c>
      <c r="AE165" s="2">
        <v>4094</v>
      </c>
      <c r="AF165" s="2"/>
    </row>
    <row r="166" spans="1:32" x14ac:dyDescent="0.2">
      <c r="A166" s="2" t="str">
        <f t="shared" si="20"/>
        <v>C9300-24T-E-C9300-NM-8X</v>
      </c>
      <c r="B166" s="2" t="s">
        <v>134</v>
      </c>
      <c r="C166" s="2" t="s">
        <v>105</v>
      </c>
      <c r="D166" s="2" t="s">
        <v>129</v>
      </c>
      <c r="E166" s="2" t="s">
        <v>139</v>
      </c>
      <c r="F166" s="2" t="s">
        <v>352</v>
      </c>
      <c r="G166" s="2">
        <v>24</v>
      </c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9" t="str">
        <f t="shared" si="21"/>
        <v/>
      </c>
      <c r="V166" s="4" t="str">
        <f t="shared" si="22"/>
        <v/>
      </c>
      <c r="W166" s="4" t="str">
        <f t="shared" si="23"/>
        <v>8</v>
      </c>
      <c r="X166" s="4" t="str">
        <f t="shared" si="24"/>
        <v/>
      </c>
      <c r="Y166" s="4" t="str">
        <f t="shared" si="25"/>
        <v/>
      </c>
      <c r="Z166" s="2"/>
      <c r="AA166" s="2"/>
      <c r="AB166" s="2">
        <v>208</v>
      </c>
      <c r="AC166" s="4" t="s">
        <v>389</v>
      </c>
      <c r="AD166" s="4">
        <v>32000</v>
      </c>
      <c r="AE166" s="2">
        <v>4094</v>
      </c>
      <c r="AF166" s="2"/>
    </row>
    <row r="167" spans="1:32" x14ac:dyDescent="0.2">
      <c r="A167" s="2" t="str">
        <f t="shared" si="20"/>
        <v>C9300-24T-E-C9300-NM-2Q</v>
      </c>
      <c r="B167" s="2" t="s">
        <v>134</v>
      </c>
      <c r="C167" s="2" t="s">
        <v>105</v>
      </c>
      <c r="D167" s="2" t="s">
        <v>129</v>
      </c>
      <c r="E167" s="2" t="s">
        <v>140</v>
      </c>
      <c r="F167" s="2" t="s">
        <v>352</v>
      </c>
      <c r="G167" s="2">
        <v>24</v>
      </c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9" t="str">
        <f t="shared" si="21"/>
        <v/>
      </c>
      <c r="V167" s="4" t="str">
        <f t="shared" si="22"/>
        <v/>
      </c>
      <c r="W167" s="4" t="str">
        <f t="shared" si="23"/>
        <v/>
      </c>
      <c r="X167" s="4" t="str">
        <f t="shared" si="24"/>
        <v/>
      </c>
      <c r="Y167" s="4" t="str">
        <f t="shared" si="25"/>
        <v>2</v>
      </c>
      <c r="Z167" s="2"/>
      <c r="AA167" s="2"/>
      <c r="AB167" s="2">
        <v>208</v>
      </c>
      <c r="AC167" s="4" t="s">
        <v>389</v>
      </c>
      <c r="AD167" s="4">
        <v>32000</v>
      </c>
      <c r="AE167" s="2">
        <v>4094</v>
      </c>
      <c r="AF167" s="2"/>
    </row>
    <row r="168" spans="1:32" x14ac:dyDescent="0.2">
      <c r="A168" s="2" t="str">
        <f t="shared" si="20"/>
        <v>C9300-24T-E-C9300-NM-2Y</v>
      </c>
      <c r="B168" s="2" t="s">
        <v>134</v>
      </c>
      <c r="C168" s="2" t="s">
        <v>105</v>
      </c>
      <c r="D168" s="2" t="s">
        <v>129</v>
      </c>
      <c r="E168" s="2" t="s">
        <v>141</v>
      </c>
      <c r="F168" s="2" t="s">
        <v>352</v>
      </c>
      <c r="G168" s="2">
        <v>24</v>
      </c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9" t="str">
        <f t="shared" si="21"/>
        <v/>
      </c>
      <c r="V168" s="4" t="str">
        <f t="shared" si="22"/>
        <v/>
      </c>
      <c r="W168" s="4" t="str">
        <f t="shared" si="23"/>
        <v/>
      </c>
      <c r="X168" s="4" t="str">
        <f t="shared" si="24"/>
        <v>2</v>
      </c>
      <c r="Y168" s="4" t="str">
        <f t="shared" si="25"/>
        <v/>
      </c>
      <c r="Z168" s="2"/>
      <c r="AA168" s="2"/>
      <c r="AB168" s="2">
        <v>208</v>
      </c>
      <c r="AC168" s="4" t="s">
        <v>389</v>
      </c>
      <c r="AD168" s="4">
        <v>32000</v>
      </c>
      <c r="AE168" s="2">
        <v>4094</v>
      </c>
      <c r="AF168" s="2"/>
    </row>
    <row r="169" spans="1:32" x14ac:dyDescent="0.2">
      <c r="A169" s="2" t="str">
        <f t="shared" si="20"/>
        <v>C9300-48T-E-C9300-NM-4G</v>
      </c>
      <c r="B169" s="2" t="s">
        <v>134</v>
      </c>
      <c r="C169" s="2" t="s">
        <v>90</v>
      </c>
      <c r="D169" s="2" t="s">
        <v>129</v>
      </c>
      <c r="E169" s="2" t="s">
        <v>137</v>
      </c>
      <c r="F169" s="2" t="s">
        <v>352</v>
      </c>
      <c r="G169" s="2">
        <v>48</v>
      </c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9" t="str">
        <f t="shared" si="21"/>
        <v>4</v>
      </c>
      <c r="V169" s="4" t="str">
        <f t="shared" si="22"/>
        <v/>
      </c>
      <c r="W169" s="4" t="str">
        <f t="shared" si="23"/>
        <v/>
      </c>
      <c r="X169" s="4" t="str">
        <f t="shared" si="24"/>
        <v/>
      </c>
      <c r="Y169" s="4" t="str">
        <f t="shared" si="25"/>
        <v/>
      </c>
      <c r="Z169" s="2"/>
      <c r="AA169" s="2"/>
      <c r="AB169" s="2">
        <v>256</v>
      </c>
      <c r="AC169" s="4" t="s">
        <v>389</v>
      </c>
      <c r="AD169" s="4">
        <v>32000</v>
      </c>
      <c r="AE169" s="2">
        <v>4094</v>
      </c>
      <c r="AF169" s="2"/>
    </row>
    <row r="170" spans="1:32" x14ac:dyDescent="0.2">
      <c r="A170" s="2" t="str">
        <f t="shared" si="20"/>
        <v>C9300-48T-E-C9300-NM-4M</v>
      </c>
      <c r="B170" s="2" t="s">
        <v>134</v>
      </c>
      <c r="C170" s="2" t="s">
        <v>90</v>
      </c>
      <c r="D170" s="2" t="s">
        <v>129</v>
      </c>
      <c r="E170" s="2" t="s">
        <v>138</v>
      </c>
      <c r="F170" s="2" t="s">
        <v>352</v>
      </c>
      <c r="G170" s="2">
        <v>48</v>
      </c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9" t="str">
        <f t="shared" si="21"/>
        <v/>
      </c>
      <c r="V170" s="4" t="str">
        <f t="shared" si="22"/>
        <v>4</v>
      </c>
      <c r="W170" s="4" t="str">
        <f t="shared" si="23"/>
        <v/>
      </c>
      <c r="X170" s="4" t="str">
        <f t="shared" si="24"/>
        <v/>
      </c>
      <c r="Y170" s="4" t="str">
        <f t="shared" si="25"/>
        <v/>
      </c>
      <c r="Z170" s="2"/>
      <c r="AA170" s="2"/>
      <c r="AB170" s="2">
        <v>256</v>
      </c>
      <c r="AC170" s="4" t="s">
        <v>389</v>
      </c>
      <c r="AD170" s="4">
        <v>32000</v>
      </c>
      <c r="AE170" s="2">
        <v>4094</v>
      </c>
      <c r="AF170" s="2"/>
    </row>
    <row r="171" spans="1:32" x14ac:dyDescent="0.2">
      <c r="A171" s="2" t="str">
        <f t="shared" si="20"/>
        <v>C9300-48T-E-C9300-NM-8X</v>
      </c>
      <c r="B171" s="2" t="s">
        <v>134</v>
      </c>
      <c r="C171" s="2" t="s">
        <v>90</v>
      </c>
      <c r="D171" s="2" t="s">
        <v>129</v>
      </c>
      <c r="E171" s="2" t="s">
        <v>139</v>
      </c>
      <c r="F171" s="2" t="s">
        <v>352</v>
      </c>
      <c r="G171" s="2">
        <v>48</v>
      </c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9" t="str">
        <f t="shared" si="21"/>
        <v/>
      </c>
      <c r="V171" s="4" t="str">
        <f t="shared" si="22"/>
        <v/>
      </c>
      <c r="W171" s="4" t="str">
        <f t="shared" si="23"/>
        <v>8</v>
      </c>
      <c r="X171" s="4" t="str">
        <f t="shared" si="24"/>
        <v/>
      </c>
      <c r="Y171" s="4" t="str">
        <f t="shared" si="25"/>
        <v/>
      </c>
      <c r="Z171" s="2"/>
      <c r="AA171" s="2"/>
      <c r="AB171" s="2">
        <v>256</v>
      </c>
      <c r="AC171" s="4" t="s">
        <v>389</v>
      </c>
      <c r="AD171" s="4">
        <v>32000</v>
      </c>
      <c r="AE171" s="2">
        <v>4094</v>
      </c>
      <c r="AF171" s="2"/>
    </row>
    <row r="172" spans="1:32" x14ac:dyDescent="0.2">
      <c r="A172" s="2" t="str">
        <f t="shared" si="20"/>
        <v>C9300-48T-E-C9300-NM-2Q</v>
      </c>
      <c r="B172" s="2" t="s">
        <v>134</v>
      </c>
      <c r="C172" s="2" t="s">
        <v>90</v>
      </c>
      <c r="D172" s="2" t="s">
        <v>129</v>
      </c>
      <c r="E172" s="2" t="s">
        <v>140</v>
      </c>
      <c r="F172" s="2" t="s">
        <v>352</v>
      </c>
      <c r="G172" s="2">
        <v>48</v>
      </c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9" t="str">
        <f t="shared" si="21"/>
        <v/>
      </c>
      <c r="V172" s="4" t="str">
        <f t="shared" si="22"/>
        <v/>
      </c>
      <c r="W172" s="4" t="str">
        <f t="shared" si="23"/>
        <v/>
      </c>
      <c r="X172" s="4" t="str">
        <f t="shared" si="24"/>
        <v/>
      </c>
      <c r="Y172" s="4" t="str">
        <f t="shared" si="25"/>
        <v>2</v>
      </c>
      <c r="Z172" s="2"/>
      <c r="AA172" s="2"/>
      <c r="AB172" s="2">
        <v>256</v>
      </c>
      <c r="AC172" s="4" t="s">
        <v>389</v>
      </c>
      <c r="AD172" s="4">
        <v>32000</v>
      </c>
      <c r="AE172" s="2">
        <v>4094</v>
      </c>
      <c r="AF172" s="2"/>
    </row>
    <row r="173" spans="1:32" x14ac:dyDescent="0.2">
      <c r="A173" s="2" t="str">
        <f t="shared" si="20"/>
        <v>C9300-48T-E-C9300-NM-2Y</v>
      </c>
      <c r="B173" s="2" t="s">
        <v>134</v>
      </c>
      <c r="C173" s="2" t="s">
        <v>90</v>
      </c>
      <c r="D173" s="2" t="s">
        <v>129</v>
      </c>
      <c r="E173" s="2" t="s">
        <v>141</v>
      </c>
      <c r="F173" s="2" t="s">
        <v>352</v>
      </c>
      <c r="G173" s="2">
        <v>48</v>
      </c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9" t="str">
        <f t="shared" si="21"/>
        <v/>
      </c>
      <c r="V173" s="4" t="str">
        <f t="shared" si="22"/>
        <v/>
      </c>
      <c r="W173" s="4" t="str">
        <f t="shared" si="23"/>
        <v/>
      </c>
      <c r="X173" s="4" t="str">
        <f t="shared" si="24"/>
        <v>2</v>
      </c>
      <c r="Y173" s="4" t="str">
        <f t="shared" si="25"/>
        <v/>
      </c>
      <c r="Z173" s="2"/>
      <c r="AA173" s="2"/>
      <c r="AB173" s="2">
        <v>256</v>
      </c>
      <c r="AC173" s="4" t="s">
        <v>389</v>
      </c>
      <c r="AD173" s="4">
        <v>32000</v>
      </c>
      <c r="AE173" s="2">
        <v>4094</v>
      </c>
      <c r="AF173" s="2"/>
    </row>
    <row r="174" spans="1:32" x14ac:dyDescent="0.2">
      <c r="A174" s="2" t="str">
        <f t="shared" si="20"/>
        <v>C9300-24P-E-C9300-NM-4G</v>
      </c>
      <c r="B174" s="2" t="s">
        <v>134</v>
      </c>
      <c r="C174" s="2" t="s">
        <v>89</v>
      </c>
      <c r="D174" s="2" t="s">
        <v>129</v>
      </c>
      <c r="E174" s="2" t="s">
        <v>137</v>
      </c>
      <c r="F174" s="2" t="s">
        <v>352</v>
      </c>
      <c r="G174" s="2"/>
      <c r="H174" s="2"/>
      <c r="I174" s="2">
        <v>24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9" t="str">
        <f t="shared" si="21"/>
        <v>4</v>
      </c>
      <c r="V174" s="4" t="str">
        <f t="shared" si="22"/>
        <v/>
      </c>
      <c r="W174" s="4" t="str">
        <f t="shared" si="23"/>
        <v/>
      </c>
      <c r="X174" s="4" t="str">
        <f t="shared" si="24"/>
        <v/>
      </c>
      <c r="Y174" s="4" t="str">
        <f t="shared" si="25"/>
        <v/>
      </c>
      <c r="Z174" s="2"/>
      <c r="AA174" s="2">
        <v>445</v>
      </c>
      <c r="AB174" s="4">
        <v>208</v>
      </c>
      <c r="AC174" s="4" t="s">
        <v>389</v>
      </c>
      <c r="AD174" s="4">
        <v>32000</v>
      </c>
      <c r="AE174" s="2">
        <v>4094</v>
      </c>
      <c r="AF174" s="4" t="s">
        <v>456</v>
      </c>
    </row>
    <row r="175" spans="1:32" x14ac:dyDescent="0.2">
      <c r="A175" s="2" t="str">
        <f t="shared" si="18"/>
        <v>C9300-24P-E-C9300-NM-4M</v>
      </c>
      <c r="B175" s="2" t="s">
        <v>134</v>
      </c>
      <c r="C175" s="2" t="s">
        <v>89</v>
      </c>
      <c r="D175" s="2" t="s">
        <v>129</v>
      </c>
      <c r="E175" s="2" t="s">
        <v>138</v>
      </c>
      <c r="F175" s="2" t="s">
        <v>352</v>
      </c>
      <c r="G175" s="2"/>
      <c r="H175" s="2"/>
      <c r="I175" s="2">
        <v>24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9" t="str">
        <f t="shared" si="21"/>
        <v/>
      </c>
      <c r="V175" s="4" t="str">
        <f t="shared" si="22"/>
        <v>4</v>
      </c>
      <c r="W175" s="4" t="str">
        <f t="shared" si="23"/>
        <v/>
      </c>
      <c r="X175" s="4" t="str">
        <f t="shared" si="24"/>
        <v/>
      </c>
      <c r="Y175" s="4" t="str">
        <f t="shared" si="25"/>
        <v/>
      </c>
      <c r="Z175" s="2"/>
      <c r="AA175" s="2">
        <v>445</v>
      </c>
      <c r="AB175" s="2">
        <v>208</v>
      </c>
      <c r="AC175" s="4" t="s">
        <v>389</v>
      </c>
      <c r="AD175" s="4">
        <v>32000</v>
      </c>
      <c r="AE175" s="2">
        <v>4094</v>
      </c>
      <c r="AF175" s="4" t="s">
        <v>456</v>
      </c>
    </row>
    <row r="176" spans="1:32" x14ac:dyDescent="0.2">
      <c r="A176" s="2" t="str">
        <f t="shared" si="18"/>
        <v>C9300-24P-E-C9300-NM-8X</v>
      </c>
      <c r="B176" s="2" t="s">
        <v>134</v>
      </c>
      <c r="C176" s="2" t="s">
        <v>89</v>
      </c>
      <c r="D176" s="2" t="s">
        <v>129</v>
      </c>
      <c r="E176" s="2" t="s">
        <v>139</v>
      </c>
      <c r="F176" s="2" t="s">
        <v>352</v>
      </c>
      <c r="G176" s="2"/>
      <c r="H176" s="2"/>
      <c r="I176" s="2">
        <v>24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9" t="str">
        <f t="shared" si="21"/>
        <v/>
      </c>
      <c r="V176" s="4" t="str">
        <f t="shared" si="22"/>
        <v/>
      </c>
      <c r="W176" s="4" t="str">
        <f t="shared" si="23"/>
        <v>8</v>
      </c>
      <c r="X176" s="4" t="str">
        <f t="shared" si="24"/>
        <v/>
      </c>
      <c r="Y176" s="4" t="str">
        <f t="shared" si="25"/>
        <v/>
      </c>
      <c r="Z176" s="2"/>
      <c r="AA176" s="2">
        <v>445</v>
      </c>
      <c r="AB176" s="2">
        <v>208</v>
      </c>
      <c r="AC176" s="4" t="s">
        <v>389</v>
      </c>
      <c r="AD176" s="4">
        <v>32000</v>
      </c>
      <c r="AE176" s="2">
        <v>4094</v>
      </c>
      <c r="AF176" s="4" t="s">
        <v>456</v>
      </c>
    </row>
    <row r="177" spans="1:32" x14ac:dyDescent="0.2">
      <c r="A177" s="2" t="str">
        <f t="shared" si="18"/>
        <v>C9300-24P-E-C9300-NM-2Q</v>
      </c>
      <c r="B177" s="2" t="s">
        <v>134</v>
      </c>
      <c r="C177" s="2" t="s">
        <v>89</v>
      </c>
      <c r="D177" s="2" t="s">
        <v>129</v>
      </c>
      <c r="E177" s="2" t="s">
        <v>140</v>
      </c>
      <c r="F177" s="2" t="s">
        <v>352</v>
      </c>
      <c r="G177" s="2"/>
      <c r="H177" s="2"/>
      <c r="I177" s="2">
        <v>24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9" t="str">
        <f t="shared" si="21"/>
        <v/>
      </c>
      <c r="V177" s="4" t="str">
        <f t="shared" si="22"/>
        <v/>
      </c>
      <c r="W177" s="4" t="str">
        <f t="shared" si="23"/>
        <v/>
      </c>
      <c r="X177" s="4" t="str">
        <f t="shared" si="24"/>
        <v/>
      </c>
      <c r="Y177" s="4" t="str">
        <f t="shared" si="25"/>
        <v>2</v>
      </c>
      <c r="Z177" s="2"/>
      <c r="AA177" s="2">
        <v>445</v>
      </c>
      <c r="AB177" s="2">
        <v>208</v>
      </c>
      <c r="AC177" s="4" t="s">
        <v>389</v>
      </c>
      <c r="AD177" s="4">
        <v>32000</v>
      </c>
      <c r="AE177" s="2">
        <v>4094</v>
      </c>
      <c r="AF177" s="4" t="s">
        <v>456</v>
      </c>
    </row>
    <row r="178" spans="1:32" x14ac:dyDescent="0.2">
      <c r="A178" s="2" t="str">
        <f t="shared" si="18"/>
        <v>C9300-24P-E-C9300-NM-2Y</v>
      </c>
      <c r="B178" s="2" t="s">
        <v>134</v>
      </c>
      <c r="C178" s="2" t="s">
        <v>89</v>
      </c>
      <c r="D178" s="2" t="s">
        <v>129</v>
      </c>
      <c r="E178" s="2" t="s">
        <v>141</v>
      </c>
      <c r="F178" s="2" t="s">
        <v>352</v>
      </c>
      <c r="G178" s="2"/>
      <c r="H178" s="2"/>
      <c r="I178" s="2">
        <v>24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9" t="str">
        <f t="shared" si="21"/>
        <v/>
      </c>
      <c r="V178" s="4" t="str">
        <f t="shared" si="22"/>
        <v/>
      </c>
      <c r="W178" s="4" t="str">
        <f t="shared" si="23"/>
        <v/>
      </c>
      <c r="X178" s="4" t="str">
        <f t="shared" si="24"/>
        <v>2</v>
      </c>
      <c r="Y178" s="4" t="str">
        <f t="shared" si="25"/>
        <v/>
      </c>
      <c r="Z178" s="2"/>
      <c r="AA178" s="2">
        <v>445</v>
      </c>
      <c r="AB178" s="2">
        <v>208</v>
      </c>
      <c r="AC178" s="4" t="s">
        <v>389</v>
      </c>
      <c r="AD178" s="4">
        <v>32000</v>
      </c>
      <c r="AE178" s="2">
        <v>4094</v>
      </c>
      <c r="AF178" s="4" t="s">
        <v>456</v>
      </c>
    </row>
    <row r="179" spans="1:32" x14ac:dyDescent="0.2">
      <c r="A179" s="2" t="str">
        <f t="shared" si="18"/>
        <v>C9300-48P-E-C9300-NM-4G</v>
      </c>
      <c r="B179" s="2" t="s">
        <v>134</v>
      </c>
      <c r="C179" s="2" t="s">
        <v>104</v>
      </c>
      <c r="D179" s="2" t="s">
        <v>129</v>
      </c>
      <c r="E179" s="2" t="s">
        <v>137</v>
      </c>
      <c r="F179" s="2" t="s">
        <v>352</v>
      </c>
      <c r="G179" s="2"/>
      <c r="H179" s="2"/>
      <c r="I179" s="2">
        <v>48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9" t="str">
        <f t="shared" si="21"/>
        <v>4</v>
      </c>
      <c r="V179" s="4" t="str">
        <f t="shared" si="22"/>
        <v/>
      </c>
      <c r="W179" s="4" t="str">
        <f t="shared" si="23"/>
        <v/>
      </c>
      <c r="X179" s="4" t="str">
        <f t="shared" si="24"/>
        <v/>
      </c>
      <c r="Y179" s="4" t="str">
        <f t="shared" si="25"/>
        <v/>
      </c>
      <c r="Z179" s="2"/>
      <c r="AA179" s="2">
        <v>437</v>
      </c>
      <c r="AB179" s="2">
        <v>256</v>
      </c>
      <c r="AC179" s="4" t="s">
        <v>389</v>
      </c>
      <c r="AD179" s="4">
        <v>32000</v>
      </c>
      <c r="AE179" s="2">
        <v>4094</v>
      </c>
      <c r="AF179" s="4" t="s">
        <v>456</v>
      </c>
    </row>
    <row r="180" spans="1:32" x14ac:dyDescent="0.2">
      <c r="A180" s="2" t="str">
        <f t="shared" si="18"/>
        <v>C9300-48P-E-C9300-NM-4M</v>
      </c>
      <c r="B180" s="2" t="s">
        <v>134</v>
      </c>
      <c r="C180" s="2" t="s">
        <v>104</v>
      </c>
      <c r="D180" s="2" t="s">
        <v>129</v>
      </c>
      <c r="E180" s="2" t="s">
        <v>138</v>
      </c>
      <c r="F180" s="2" t="s">
        <v>352</v>
      </c>
      <c r="G180" s="2"/>
      <c r="H180" s="2"/>
      <c r="I180" s="2">
        <v>48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9" t="str">
        <f t="shared" si="21"/>
        <v/>
      </c>
      <c r="V180" s="4" t="str">
        <f t="shared" si="22"/>
        <v>4</v>
      </c>
      <c r="W180" s="4" t="str">
        <f t="shared" si="23"/>
        <v/>
      </c>
      <c r="X180" s="4" t="str">
        <f t="shared" si="24"/>
        <v/>
      </c>
      <c r="Y180" s="4" t="str">
        <f t="shared" si="25"/>
        <v/>
      </c>
      <c r="Z180" s="2"/>
      <c r="AA180" s="2">
        <v>437</v>
      </c>
      <c r="AB180" s="2">
        <v>256</v>
      </c>
      <c r="AC180" s="4" t="s">
        <v>389</v>
      </c>
      <c r="AD180" s="4">
        <v>32000</v>
      </c>
      <c r="AE180" s="2">
        <v>4094</v>
      </c>
      <c r="AF180" s="4" t="s">
        <v>456</v>
      </c>
    </row>
    <row r="181" spans="1:32" x14ac:dyDescent="0.2">
      <c r="A181" s="2" t="str">
        <f t="shared" si="18"/>
        <v>C9300-48P-E-C9300-NM-8X</v>
      </c>
      <c r="B181" s="2" t="s">
        <v>134</v>
      </c>
      <c r="C181" s="2" t="s">
        <v>104</v>
      </c>
      <c r="D181" s="2" t="s">
        <v>129</v>
      </c>
      <c r="E181" s="2" t="s">
        <v>139</v>
      </c>
      <c r="F181" s="2" t="s">
        <v>352</v>
      </c>
      <c r="G181" s="2"/>
      <c r="H181" s="2"/>
      <c r="I181" s="2">
        <v>48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9" t="str">
        <f t="shared" si="21"/>
        <v/>
      </c>
      <c r="V181" s="4" t="str">
        <f t="shared" si="22"/>
        <v/>
      </c>
      <c r="W181" s="4" t="str">
        <f t="shared" si="23"/>
        <v>8</v>
      </c>
      <c r="X181" s="4" t="str">
        <f t="shared" si="24"/>
        <v/>
      </c>
      <c r="Y181" s="4" t="str">
        <f t="shared" si="25"/>
        <v/>
      </c>
      <c r="Z181" s="2"/>
      <c r="AA181" s="2">
        <v>437</v>
      </c>
      <c r="AB181" s="2">
        <v>256</v>
      </c>
      <c r="AC181" s="4" t="s">
        <v>389</v>
      </c>
      <c r="AD181" s="4">
        <v>32000</v>
      </c>
      <c r="AE181" s="2">
        <v>4094</v>
      </c>
      <c r="AF181" s="4" t="s">
        <v>456</v>
      </c>
    </row>
    <row r="182" spans="1:32" x14ac:dyDescent="0.2">
      <c r="A182" s="2" t="str">
        <f t="shared" si="18"/>
        <v>C9300-48P-E-C9300-NM-2Q</v>
      </c>
      <c r="B182" s="2" t="s">
        <v>134</v>
      </c>
      <c r="C182" s="2" t="s">
        <v>104</v>
      </c>
      <c r="D182" s="2" t="s">
        <v>129</v>
      </c>
      <c r="E182" s="2" t="s">
        <v>140</v>
      </c>
      <c r="F182" s="2" t="s">
        <v>352</v>
      </c>
      <c r="G182" s="2"/>
      <c r="H182" s="2"/>
      <c r="I182" s="2">
        <v>48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9" t="str">
        <f t="shared" si="21"/>
        <v/>
      </c>
      <c r="V182" s="4" t="str">
        <f t="shared" si="22"/>
        <v/>
      </c>
      <c r="W182" s="4" t="str">
        <f t="shared" si="23"/>
        <v/>
      </c>
      <c r="X182" s="4" t="str">
        <f t="shared" si="24"/>
        <v/>
      </c>
      <c r="Y182" s="4" t="str">
        <f t="shared" si="25"/>
        <v>2</v>
      </c>
      <c r="Z182" s="2"/>
      <c r="AA182" s="2">
        <v>437</v>
      </c>
      <c r="AB182" s="2">
        <v>256</v>
      </c>
      <c r="AC182" s="4" t="s">
        <v>389</v>
      </c>
      <c r="AD182" s="4">
        <v>32000</v>
      </c>
      <c r="AE182" s="2">
        <v>4094</v>
      </c>
      <c r="AF182" s="4" t="s">
        <v>456</v>
      </c>
    </row>
    <row r="183" spans="1:32" x14ac:dyDescent="0.2">
      <c r="A183" s="2" t="str">
        <f>IF(D183="Fixed",C183,C183&amp;"-"&amp;E183)</f>
        <v>C9300-48P-E-C9300-NM-2Y</v>
      </c>
      <c r="B183" s="2" t="s">
        <v>134</v>
      </c>
      <c r="C183" s="2" t="s">
        <v>104</v>
      </c>
      <c r="D183" s="2" t="s">
        <v>129</v>
      </c>
      <c r="E183" s="2" t="s">
        <v>141</v>
      </c>
      <c r="F183" s="2" t="s">
        <v>352</v>
      </c>
      <c r="G183" s="2"/>
      <c r="H183" s="2"/>
      <c r="I183" s="2">
        <v>48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9" t="str">
        <f t="shared" si="21"/>
        <v/>
      </c>
      <c r="V183" s="4" t="str">
        <f t="shared" si="22"/>
        <v/>
      </c>
      <c r="W183" s="4" t="str">
        <f t="shared" si="23"/>
        <v/>
      </c>
      <c r="X183" s="4" t="str">
        <f t="shared" si="24"/>
        <v>2</v>
      </c>
      <c r="Y183" s="4" t="str">
        <f t="shared" si="25"/>
        <v/>
      </c>
      <c r="Z183" s="2"/>
      <c r="AA183" s="2">
        <v>437</v>
      </c>
      <c r="AB183" s="2">
        <v>256</v>
      </c>
      <c r="AC183" s="4" t="s">
        <v>389</v>
      </c>
      <c r="AD183" s="4">
        <v>32000</v>
      </c>
      <c r="AE183" s="2">
        <v>4094</v>
      </c>
      <c r="AF183" s="4" t="s">
        <v>456</v>
      </c>
    </row>
    <row r="184" spans="1:32" x14ac:dyDescent="0.2">
      <c r="A184" s="2" t="str">
        <f t="shared" ref="A184:A189" si="26">IF(D184="Fixed",C184,C184&amp;"-"&amp;E184)</f>
        <v>C9300-24U-E-C9300-NM-4G</v>
      </c>
      <c r="B184" s="2" t="s">
        <v>134</v>
      </c>
      <c r="C184" s="2" t="s">
        <v>91</v>
      </c>
      <c r="D184" s="2" t="s">
        <v>129</v>
      </c>
      <c r="E184" s="2" t="s">
        <v>137</v>
      </c>
      <c r="F184" s="2" t="s">
        <v>352</v>
      </c>
      <c r="G184" s="2"/>
      <c r="H184" s="2"/>
      <c r="I184" s="2"/>
      <c r="J184" s="2">
        <v>24</v>
      </c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9" t="str">
        <f t="shared" si="21"/>
        <v>4</v>
      </c>
      <c r="V184" s="4" t="str">
        <f t="shared" si="22"/>
        <v/>
      </c>
      <c r="W184" s="4" t="str">
        <f t="shared" si="23"/>
        <v/>
      </c>
      <c r="X184" s="4" t="str">
        <f t="shared" si="24"/>
        <v/>
      </c>
      <c r="Y184" s="4" t="str">
        <f t="shared" si="25"/>
        <v/>
      </c>
      <c r="Z184" s="2"/>
      <c r="AA184" s="2">
        <v>830</v>
      </c>
      <c r="AB184" s="4">
        <v>208</v>
      </c>
      <c r="AC184" s="4" t="s">
        <v>389</v>
      </c>
      <c r="AD184" s="4">
        <v>32000</v>
      </c>
      <c r="AE184" s="2">
        <v>4094</v>
      </c>
      <c r="AF184" s="4" t="s">
        <v>456</v>
      </c>
    </row>
    <row r="185" spans="1:32" x14ac:dyDescent="0.2">
      <c r="A185" s="2" t="str">
        <f t="shared" si="26"/>
        <v>C9300-24U-E-C9300-NM-4M</v>
      </c>
      <c r="B185" s="2" t="s">
        <v>134</v>
      </c>
      <c r="C185" s="2" t="s">
        <v>91</v>
      </c>
      <c r="D185" s="2" t="s">
        <v>129</v>
      </c>
      <c r="E185" s="2" t="s">
        <v>138</v>
      </c>
      <c r="F185" s="2" t="s">
        <v>352</v>
      </c>
      <c r="G185" s="2"/>
      <c r="H185" s="2"/>
      <c r="I185" s="2"/>
      <c r="J185" s="2">
        <v>24</v>
      </c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9" t="str">
        <f t="shared" si="21"/>
        <v/>
      </c>
      <c r="V185" s="4" t="str">
        <f t="shared" si="22"/>
        <v>4</v>
      </c>
      <c r="W185" s="4" t="str">
        <f t="shared" si="23"/>
        <v/>
      </c>
      <c r="X185" s="4" t="str">
        <f t="shared" si="24"/>
        <v/>
      </c>
      <c r="Y185" s="4" t="str">
        <f t="shared" si="25"/>
        <v/>
      </c>
      <c r="Z185" s="2"/>
      <c r="AA185" s="2">
        <v>830</v>
      </c>
      <c r="AB185" s="2">
        <v>208</v>
      </c>
      <c r="AC185" s="4" t="s">
        <v>389</v>
      </c>
      <c r="AD185" s="4">
        <v>32000</v>
      </c>
      <c r="AE185" s="2">
        <v>4094</v>
      </c>
      <c r="AF185" s="4" t="s">
        <v>456</v>
      </c>
    </row>
    <row r="186" spans="1:32" x14ac:dyDescent="0.2">
      <c r="A186" s="2" t="str">
        <f t="shared" si="26"/>
        <v>C9300-24U-E-C9300-NM-8X</v>
      </c>
      <c r="B186" s="2" t="s">
        <v>134</v>
      </c>
      <c r="C186" s="2" t="s">
        <v>91</v>
      </c>
      <c r="D186" s="2" t="s">
        <v>129</v>
      </c>
      <c r="E186" s="2" t="s">
        <v>139</v>
      </c>
      <c r="F186" s="2" t="s">
        <v>352</v>
      </c>
      <c r="G186" s="2"/>
      <c r="H186" s="2"/>
      <c r="I186" s="2"/>
      <c r="J186" s="2">
        <v>24</v>
      </c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9" t="str">
        <f t="shared" si="21"/>
        <v/>
      </c>
      <c r="V186" s="4" t="str">
        <f t="shared" si="22"/>
        <v/>
      </c>
      <c r="W186" s="4" t="str">
        <f t="shared" si="23"/>
        <v>8</v>
      </c>
      <c r="X186" s="4" t="str">
        <f t="shared" si="24"/>
        <v/>
      </c>
      <c r="Y186" s="4" t="str">
        <f t="shared" si="25"/>
        <v/>
      </c>
      <c r="Z186" s="2"/>
      <c r="AA186" s="2">
        <v>830</v>
      </c>
      <c r="AB186" s="2">
        <v>208</v>
      </c>
      <c r="AC186" s="4" t="s">
        <v>389</v>
      </c>
      <c r="AD186" s="4">
        <v>32000</v>
      </c>
      <c r="AE186" s="2">
        <v>4094</v>
      </c>
      <c r="AF186" s="4" t="s">
        <v>456</v>
      </c>
    </row>
    <row r="187" spans="1:32" x14ac:dyDescent="0.2">
      <c r="A187" s="2" t="str">
        <f t="shared" si="26"/>
        <v>C9300-24U-E-C9300-NM-2Q</v>
      </c>
      <c r="B187" s="2" t="s">
        <v>134</v>
      </c>
      <c r="C187" s="2" t="s">
        <v>91</v>
      </c>
      <c r="D187" s="2" t="s">
        <v>129</v>
      </c>
      <c r="E187" s="2" t="s">
        <v>140</v>
      </c>
      <c r="F187" s="2" t="s">
        <v>352</v>
      </c>
      <c r="G187" s="2"/>
      <c r="H187" s="2"/>
      <c r="I187" s="2"/>
      <c r="J187" s="2">
        <v>24</v>
      </c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9" t="str">
        <f t="shared" si="21"/>
        <v/>
      </c>
      <c r="V187" s="4" t="str">
        <f t="shared" si="22"/>
        <v/>
      </c>
      <c r="W187" s="4" t="str">
        <f t="shared" si="23"/>
        <v/>
      </c>
      <c r="X187" s="4" t="str">
        <f t="shared" si="24"/>
        <v/>
      </c>
      <c r="Y187" s="4" t="str">
        <f t="shared" si="25"/>
        <v>2</v>
      </c>
      <c r="Z187" s="2"/>
      <c r="AA187" s="2">
        <v>830</v>
      </c>
      <c r="AB187" s="2">
        <v>208</v>
      </c>
      <c r="AC187" s="4" t="s">
        <v>389</v>
      </c>
      <c r="AD187" s="4">
        <v>32000</v>
      </c>
      <c r="AE187" s="2">
        <v>4094</v>
      </c>
      <c r="AF187" s="4" t="s">
        <v>456</v>
      </c>
    </row>
    <row r="188" spans="1:32" x14ac:dyDescent="0.2">
      <c r="A188" s="2" t="str">
        <f t="shared" si="26"/>
        <v>C9300-24U-E-C9300-NM-2Y</v>
      </c>
      <c r="B188" s="2" t="s">
        <v>134</v>
      </c>
      <c r="C188" s="2" t="s">
        <v>91</v>
      </c>
      <c r="D188" s="2" t="s">
        <v>129</v>
      </c>
      <c r="E188" s="2" t="s">
        <v>141</v>
      </c>
      <c r="F188" s="2" t="s">
        <v>352</v>
      </c>
      <c r="G188" s="2"/>
      <c r="H188" s="2"/>
      <c r="I188" s="2"/>
      <c r="J188" s="2">
        <v>24</v>
      </c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9" t="str">
        <f t="shared" si="21"/>
        <v/>
      </c>
      <c r="V188" s="4" t="str">
        <f t="shared" si="22"/>
        <v/>
      </c>
      <c r="W188" s="4" t="str">
        <f t="shared" si="23"/>
        <v/>
      </c>
      <c r="X188" s="4" t="str">
        <f t="shared" si="24"/>
        <v>2</v>
      </c>
      <c r="Y188" s="4" t="str">
        <f t="shared" si="25"/>
        <v/>
      </c>
      <c r="Z188" s="2"/>
      <c r="AA188" s="2">
        <v>830</v>
      </c>
      <c r="AB188" s="2">
        <v>208</v>
      </c>
      <c r="AC188" s="4" t="s">
        <v>389</v>
      </c>
      <c r="AD188" s="4">
        <v>32000</v>
      </c>
      <c r="AE188" s="2">
        <v>4094</v>
      </c>
      <c r="AF188" s="4" t="s">
        <v>456</v>
      </c>
    </row>
    <row r="189" spans="1:32" x14ac:dyDescent="0.2">
      <c r="A189" s="2" t="str">
        <f t="shared" si="26"/>
        <v>C9300-48U-E-C9300-NM-4G</v>
      </c>
      <c r="B189" s="2" t="s">
        <v>134</v>
      </c>
      <c r="C189" s="2" t="s">
        <v>92</v>
      </c>
      <c r="D189" s="2" t="s">
        <v>129</v>
      </c>
      <c r="E189" s="2" t="s">
        <v>137</v>
      </c>
      <c r="F189" s="2" t="s">
        <v>352</v>
      </c>
      <c r="G189" s="2"/>
      <c r="H189" s="2"/>
      <c r="I189" s="2"/>
      <c r="J189" s="2">
        <v>48</v>
      </c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9" t="str">
        <f t="shared" si="21"/>
        <v>4</v>
      </c>
      <c r="V189" s="4" t="str">
        <f t="shared" si="22"/>
        <v/>
      </c>
      <c r="W189" s="4" t="str">
        <f t="shared" si="23"/>
        <v/>
      </c>
      <c r="X189" s="4" t="str">
        <f t="shared" si="24"/>
        <v/>
      </c>
      <c r="Y189" s="4" t="str">
        <f t="shared" si="25"/>
        <v/>
      </c>
      <c r="Z189" s="2"/>
      <c r="AA189" s="2">
        <v>822</v>
      </c>
      <c r="AB189" s="2">
        <v>256</v>
      </c>
      <c r="AC189" s="4" t="s">
        <v>389</v>
      </c>
      <c r="AD189" s="4">
        <v>32000</v>
      </c>
      <c r="AE189" s="2">
        <v>4094</v>
      </c>
      <c r="AF189" s="4" t="s">
        <v>456</v>
      </c>
    </row>
    <row r="190" spans="1:32" x14ac:dyDescent="0.2">
      <c r="A190" s="2" t="str">
        <f>IF(D190="Fixed",C190,C190&amp;"-"&amp;E190)</f>
        <v>C9300-48U-E-C9300-NM-4M</v>
      </c>
      <c r="B190" s="2" t="s">
        <v>134</v>
      </c>
      <c r="C190" s="2" t="s">
        <v>92</v>
      </c>
      <c r="D190" s="2" t="s">
        <v>129</v>
      </c>
      <c r="E190" s="2" t="s">
        <v>138</v>
      </c>
      <c r="F190" s="2" t="s">
        <v>352</v>
      </c>
      <c r="G190" s="2"/>
      <c r="H190" s="2"/>
      <c r="I190" s="2"/>
      <c r="J190" s="2">
        <v>48</v>
      </c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9" t="str">
        <f t="shared" si="21"/>
        <v/>
      </c>
      <c r="V190" s="4" t="str">
        <f t="shared" si="22"/>
        <v>4</v>
      </c>
      <c r="W190" s="4" t="str">
        <f t="shared" si="23"/>
        <v/>
      </c>
      <c r="X190" s="4" t="str">
        <f t="shared" si="24"/>
        <v/>
      </c>
      <c r="Y190" s="4" t="str">
        <f t="shared" si="25"/>
        <v/>
      </c>
      <c r="Z190" s="2"/>
      <c r="AA190" s="2">
        <v>822</v>
      </c>
      <c r="AB190" s="2">
        <v>256</v>
      </c>
      <c r="AC190" s="4" t="s">
        <v>389</v>
      </c>
      <c r="AD190" s="4">
        <v>32000</v>
      </c>
      <c r="AE190" s="2">
        <v>4094</v>
      </c>
      <c r="AF190" s="4" t="s">
        <v>456</v>
      </c>
    </row>
    <row r="191" spans="1:32" x14ac:dyDescent="0.2">
      <c r="A191" s="2" t="str">
        <f t="shared" ref="A191:A213" si="27">IF(D191="Fixed",C191,C191&amp;"-"&amp;E191)</f>
        <v>C9300-48U-E-C9300-NM-8X</v>
      </c>
      <c r="B191" s="2" t="s">
        <v>134</v>
      </c>
      <c r="C191" s="2" t="s">
        <v>92</v>
      </c>
      <c r="D191" s="2" t="s">
        <v>129</v>
      </c>
      <c r="E191" s="2" t="s">
        <v>139</v>
      </c>
      <c r="F191" s="2" t="s">
        <v>352</v>
      </c>
      <c r="G191" s="2"/>
      <c r="H191" s="2"/>
      <c r="I191" s="2"/>
      <c r="J191" s="2">
        <v>48</v>
      </c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9" t="str">
        <f t="shared" si="21"/>
        <v/>
      </c>
      <c r="V191" s="4" t="str">
        <f t="shared" si="22"/>
        <v/>
      </c>
      <c r="W191" s="4" t="str">
        <f t="shared" si="23"/>
        <v>8</v>
      </c>
      <c r="X191" s="4" t="str">
        <f t="shared" si="24"/>
        <v/>
      </c>
      <c r="Y191" s="4" t="str">
        <f t="shared" si="25"/>
        <v/>
      </c>
      <c r="Z191" s="2"/>
      <c r="AA191" s="2">
        <v>822</v>
      </c>
      <c r="AB191" s="2">
        <v>256</v>
      </c>
      <c r="AC191" s="4" t="s">
        <v>389</v>
      </c>
      <c r="AD191" s="4">
        <v>32000</v>
      </c>
      <c r="AE191" s="2">
        <v>4094</v>
      </c>
      <c r="AF191" s="4" t="s">
        <v>456</v>
      </c>
    </row>
    <row r="192" spans="1:32" x14ac:dyDescent="0.2">
      <c r="A192" s="2" t="str">
        <f t="shared" si="27"/>
        <v>C9300-48U-E-C9300-NM-2Q</v>
      </c>
      <c r="B192" s="2" t="s">
        <v>134</v>
      </c>
      <c r="C192" s="2" t="s">
        <v>92</v>
      </c>
      <c r="D192" s="2" t="s">
        <v>129</v>
      </c>
      <c r="E192" s="2" t="s">
        <v>140</v>
      </c>
      <c r="F192" s="2" t="s">
        <v>352</v>
      </c>
      <c r="G192" s="2"/>
      <c r="H192" s="2"/>
      <c r="I192" s="2"/>
      <c r="J192" s="2">
        <v>48</v>
      </c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9" t="str">
        <f t="shared" si="21"/>
        <v/>
      </c>
      <c r="V192" s="4" t="str">
        <f t="shared" si="22"/>
        <v/>
      </c>
      <c r="W192" s="4" t="str">
        <f t="shared" si="23"/>
        <v/>
      </c>
      <c r="X192" s="4" t="str">
        <f t="shared" si="24"/>
        <v/>
      </c>
      <c r="Y192" s="4" t="str">
        <f t="shared" si="25"/>
        <v>2</v>
      </c>
      <c r="Z192" s="2"/>
      <c r="AA192" s="2">
        <v>822</v>
      </c>
      <c r="AB192" s="2">
        <v>256</v>
      </c>
      <c r="AC192" s="4" t="s">
        <v>389</v>
      </c>
      <c r="AD192" s="4">
        <v>32000</v>
      </c>
      <c r="AE192" s="2">
        <v>4094</v>
      </c>
      <c r="AF192" s="4" t="s">
        <v>456</v>
      </c>
    </row>
    <row r="193" spans="1:32" x14ac:dyDescent="0.2">
      <c r="A193" s="2" t="str">
        <f t="shared" si="27"/>
        <v>C9300-48U-E-C9300-NM-2Y</v>
      </c>
      <c r="B193" s="2" t="s">
        <v>134</v>
      </c>
      <c r="C193" s="2" t="s">
        <v>92</v>
      </c>
      <c r="D193" s="2" t="s">
        <v>129</v>
      </c>
      <c r="E193" s="2" t="s">
        <v>141</v>
      </c>
      <c r="F193" s="2" t="s">
        <v>352</v>
      </c>
      <c r="G193" s="2"/>
      <c r="H193" s="2"/>
      <c r="I193" s="2"/>
      <c r="J193" s="2">
        <v>48</v>
      </c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9" t="str">
        <f t="shared" si="21"/>
        <v/>
      </c>
      <c r="V193" s="4" t="str">
        <f t="shared" si="22"/>
        <v/>
      </c>
      <c r="W193" s="4" t="str">
        <f t="shared" si="23"/>
        <v/>
      </c>
      <c r="X193" s="4" t="str">
        <f t="shared" si="24"/>
        <v>2</v>
      </c>
      <c r="Y193" s="4" t="str">
        <f t="shared" si="25"/>
        <v/>
      </c>
      <c r="Z193" s="2"/>
      <c r="AA193" s="2">
        <v>822</v>
      </c>
      <c r="AB193" s="2">
        <v>256</v>
      </c>
      <c r="AC193" s="4" t="s">
        <v>389</v>
      </c>
      <c r="AD193" s="4">
        <v>32000</v>
      </c>
      <c r="AE193" s="2">
        <v>4094</v>
      </c>
      <c r="AF193" s="4" t="s">
        <v>456</v>
      </c>
    </row>
    <row r="194" spans="1:32" x14ac:dyDescent="0.2">
      <c r="A194" s="2" t="str">
        <f t="shared" si="27"/>
        <v>C9300-24UX-E-C9300-NM-4G</v>
      </c>
      <c r="B194" s="2" t="s">
        <v>134</v>
      </c>
      <c r="C194" s="2" t="s">
        <v>93</v>
      </c>
      <c r="D194" s="2" t="s">
        <v>129</v>
      </c>
      <c r="E194" s="2" t="s">
        <v>137</v>
      </c>
      <c r="F194" s="2" t="s">
        <v>352</v>
      </c>
      <c r="G194" s="2"/>
      <c r="H194" s="2"/>
      <c r="I194" s="2"/>
      <c r="J194" s="2"/>
      <c r="K194" s="2"/>
      <c r="L194" s="2"/>
      <c r="M194" s="2"/>
      <c r="N194" s="2"/>
      <c r="O194" s="2">
        <v>24</v>
      </c>
      <c r="P194" s="2"/>
      <c r="Q194" s="2"/>
      <c r="R194" s="2"/>
      <c r="S194" s="2"/>
      <c r="T194" s="2"/>
      <c r="U194" s="29" t="str">
        <f t="shared" si="21"/>
        <v>4</v>
      </c>
      <c r="V194" s="4" t="str">
        <f t="shared" si="22"/>
        <v/>
      </c>
      <c r="W194" s="4" t="str">
        <f t="shared" si="23"/>
        <v/>
      </c>
      <c r="X194" s="4" t="str">
        <f t="shared" si="24"/>
        <v/>
      </c>
      <c r="Y194" s="4" t="str">
        <f t="shared" si="25"/>
        <v/>
      </c>
      <c r="Z194" s="2"/>
      <c r="AA194" s="2">
        <v>560</v>
      </c>
      <c r="AB194" s="2">
        <v>640</v>
      </c>
      <c r="AC194" s="4" t="s">
        <v>389</v>
      </c>
      <c r="AD194" s="4">
        <v>32000</v>
      </c>
      <c r="AE194" s="2">
        <v>4094</v>
      </c>
      <c r="AF194" s="4" t="s">
        <v>456</v>
      </c>
    </row>
    <row r="195" spans="1:32" x14ac:dyDescent="0.2">
      <c r="A195" s="2" t="str">
        <f t="shared" si="27"/>
        <v>C9300-24UX-E-C9300-NM-4M</v>
      </c>
      <c r="B195" s="2" t="s">
        <v>134</v>
      </c>
      <c r="C195" s="2" t="s">
        <v>93</v>
      </c>
      <c r="D195" s="2" t="s">
        <v>129</v>
      </c>
      <c r="E195" s="2" t="s">
        <v>138</v>
      </c>
      <c r="F195" s="2" t="s">
        <v>352</v>
      </c>
      <c r="G195" s="2"/>
      <c r="H195" s="2"/>
      <c r="I195" s="2"/>
      <c r="J195" s="2"/>
      <c r="K195" s="2"/>
      <c r="L195" s="2"/>
      <c r="M195" s="2"/>
      <c r="N195" s="2"/>
      <c r="O195" s="2">
        <v>24</v>
      </c>
      <c r="P195" s="2"/>
      <c r="Q195" s="2"/>
      <c r="R195" s="2"/>
      <c r="S195" s="2"/>
      <c r="T195" s="2"/>
      <c r="U195" s="29" t="str">
        <f t="shared" si="21"/>
        <v/>
      </c>
      <c r="V195" s="4" t="str">
        <f t="shared" si="22"/>
        <v>4</v>
      </c>
      <c r="W195" s="4" t="str">
        <f t="shared" si="23"/>
        <v/>
      </c>
      <c r="X195" s="4" t="str">
        <f t="shared" si="24"/>
        <v/>
      </c>
      <c r="Y195" s="4" t="str">
        <f t="shared" si="25"/>
        <v/>
      </c>
      <c r="Z195" s="2"/>
      <c r="AA195" s="2">
        <v>560</v>
      </c>
      <c r="AB195" s="2">
        <v>640</v>
      </c>
      <c r="AC195" s="4" t="s">
        <v>389</v>
      </c>
      <c r="AD195" s="4">
        <v>32000</v>
      </c>
      <c r="AE195" s="2">
        <v>4094</v>
      </c>
      <c r="AF195" s="4" t="s">
        <v>456</v>
      </c>
    </row>
    <row r="196" spans="1:32" x14ac:dyDescent="0.2">
      <c r="A196" s="2" t="str">
        <f t="shared" si="27"/>
        <v>C9300-24UX-E-C9300-NM-8X</v>
      </c>
      <c r="B196" s="2" t="s">
        <v>134</v>
      </c>
      <c r="C196" s="2" t="s">
        <v>93</v>
      </c>
      <c r="D196" s="2" t="s">
        <v>129</v>
      </c>
      <c r="E196" s="2" t="s">
        <v>139</v>
      </c>
      <c r="F196" s="2" t="s">
        <v>352</v>
      </c>
      <c r="G196" s="2"/>
      <c r="H196" s="2"/>
      <c r="I196" s="2"/>
      <c r="J196" s="2"/>
      <c r="K196" s="2"/>
      <c r="L196" s="2"/>
      <c r="M196" s="2"/>
      <c r="N196" s="2"/>
      <c r="O196" s="2">
        <v>24</v>
      </c>
      <c r="P196" s="2"/>
      <c r="Q196" s="2"/>
      <c r="R196" s="2"/>
      <c r="S196" s="2"/>
      <c r="T196" s="2"/>
      <c r="U196" s="29" t="str">
        <f t="shared" si="21"/>
        <v/>
      </c>
      <c r="V196" s="4" t="str">
        <f t="shared" si="22"/>
        <v/>
      </c>
      <c r="W196" s="4" t="str">
        <f t="shared" si="23"/>
        <v>8</v>
      </c>
      <c r="X196" s="4" t="str">
        <f t="shared" si="24"/>
        <v/>
      </c>
      <c r="Y196" s="4" t="str">
        <f t="shared" si="25"/>
        <v/>
      </c>
      <c r="Z196" s="2"/>
      <c r="AA196" s="2">
        <v>560</v>
      </c>
      <c r="AB196" s="2">
        <v>640</v>
      </c>
      <c r="AC196" s="4" t="s">
        <v>389</v>
      </c>
      <c r="AD196" s="4">
        <v>32000</v>
      </c>
      <c r="AE196" s="2">
        <v>4094</v>
      </c>
      <c r="AF196" s="4" t="s">
        <v>456</v>
      </c>
    </row>
    <row r="197" spans="1:32" x14ac:dyDescent="0.2">
      <c r="A197" s="2" t="str">
        <f t="shared" si="27"/>
        <v>C9300-24UX-E-C9300-NM-2Q</v>
      </c>
      <c r="B197" s="2" t="s">
        <v>134</v>
      </c>
      <c r="C197" s="2" t="s">
        <v>93</v>
      </c>
      <c r="D197" s="2" t="s">
        <v>129</v>
      </c>
      <c r="E197" s="2" t="s">
        <v>140</v>
      </c>
      <c r="F197" s="2" t="s">
        <v>352</v>
      </c>
      <c r="G197" s="2"/>
      <c r="H197" s="2"/>
      <c r="I197" s="2"/>
      <c r="J197" s="2"/>
      <c r="K197" s="2"/>
      <c r="L197" s="2"/>
      <c r="M197" s="2"/>
      <c r="N197" s="2"/>
      <c r="O197" s="2">
        <v>24</v>
      </c>
      <c r="P197" s="2"/>
      <c r="Q197" s="2"/>
      <c r="R197" s="2"/>
      <c r="S197" s="2"/>
      <c r="T197" s="2"/>
      <c r="U197" s="29" t="str">
        <f t="shared" si="21"/>
        <v/>
      </c>
      <c r="V197" s="4" t="str">
        <f t="shared" si="22"/>
        <v/>
      </c>
      <c r="W197" s="4" t="str">
        <f t="shared" si="23"/>
        <v/>
      </c>
      <c r="X197" s="4" t="str">
        <f t="shared" si="24"/>
        <v/>
      </c>
      <c r="Y197" s="4" t="str">
        <f t="shared" si="25"/>
        <v>2</v>
      </c>
      <c r="Z197" s="2"/>
      <c r="AA197" s="2">
        <v>560</v>
      </c>
      <c r="AB197" s="2">
        <v>640</v>
      </c>
      <c r="AC197" s="4" t="s">
        <v>389</v>
      </c>
      <c r="AD197" s="4">
        <v>32000</v>
      </c>
      <c r="AE197" s="2">
        <v>4094</v>
      </c>
      <c r="AF197" s="4" t="s">
        <v>456</v>
      </c>
    </row>
    <row r="198" spans="1:32" x14ac:dyDescent="0.2">
      <c r="A198" s="2" t="str">
        <f t="shared" si="27"/>
        <v>C9300-24UX-E-C9300-NM-2Y</v>
      </c>
      <c r="B198" s="2" t="s">
        <v>134</v>
      </c>
      <c r="C198" s="2" t="s">
        <v>93</v>
      </c>
      <c r="D198" s="2" t="s">
        <v>129</v>
      </c>
      <c r="E198" s="2" t="s">
        <v>141</v>
      </c>
      <c r="F198" s="2" t="s">
        <v>352</v>
      </c>
      <c r="G198" s="2"/>
      <c r="H198" s="2"/>
      <c r="I198" s="2"/>
      <c r="J198" s="2"/>
      <c r="K198" s="2"/>
      <c r="L198" s="2"/>
      <c r="M198" s="2"/>
      <c r="N198" s="2"/>
      <c r="O198" s="2">
        <v>24</v>
      </c>
      <c r="P198" s="2"/>
      <c r="Q198" s="2"/>
      <c r="R198" s="2"/>
      <c r="S198" s="2"/>
      <c r="T198" s="2"/>
      <c r="U198" s="29" t="str">
        <f t="shared" si="21"/>
        <v/>
      </c>
      <c r="V198" s="4" t="str">
        <f t="shared" si="22"/>
        <v/>
      </c>
      <c r="W198" s="4" t="str">
        <f t="shared" si="23"/>
        <v/>
      </c>
      <c r="X198" s="4" t="str">
        <f t="shared" si="24"/>
        <v>2</v>
      </c>
      <c r="Y198" s="4" t="str">
        <f t="shared" si="25"/>
        <v/>
      </c>
      <c r="Z198" s="2"/>
      <c r="AA198" s="2">
        <v>560</v>
      </c>
      <c r="AB198" s="2">
        <v>640</v>
      </c>
      <c r="AC198" s="4" t="s">
        <v>389</v>
      </c>
      <c r="AD198" s="4">
        <v>32000</v>
      </c>
      <c r="AE198" s="2">
        <v>4094</v>
      </c>
      <c r="AF198" s="4" t="s">
        <v>456</v>
      </c>
    </row>
    <row r="199" spans="1:32" x14ac:dyDescent="0.2">
      <c r="A199" s="2" t="str">
        <f t="shared" ref="A199:A203" si="28">IF(D199="Fixed",C199,C199&amp;"-"&amp;E199)</f>
        <v>C9300-48UXM-E-C9300-NM-4G</v>
      </c>
      <c r="B199" s="2" t="s">
        <v>134</v>
      </c>
      <c r="C199" s="2" t="s">
        <v>95</v>
      </c>
      <c r="D199" s="2" t="s">
        <v>129</v>
      </c>
      <c r="E199" s="2" t="s">
        <v>137</v>
      </c>
      <c r="F199" s="2" t="s">
        <v>352</v>
      </c>
      <c r="G199" s="2"/>
      <c r="H199" s="2"/>
      <c r="I199" s="2"/>
      <c r="J199" s="2"/>
      <c r="K199" s="2"/>
      <c r="L199" s="2"/>
      <c r="M199" s="2">
        <v>36</v>
      </c>
      <c r="N199" s="2"/>
      <c r="O199" s="2">
        <v>12</v>
      </c>
      <c r="P199" s="2"/>
      <c r="Q199" s="2"/>
      <c r="R199" s="2"/>
      <c r="S199" s="2"/>
      <c r="T199" s="2"/>
      <c r="U199" s="29" t="str">
        <f t="shared" si="21"/>
        <v>4</v>
      </c>
      <c r="V199" s="4" t="str">
        <f t="shared" si="22"/>
        <v/>
      </c>
      <c r="W199" s="4" t="str">
        <f t="shared" si="23"/>
        <v/>
      </c>
      <c r="X199" s="4" t="str">
        <f t="shared" si="24"/>
        <v/>
      </c>
      <c r="Y199" s="4" t="str">
        <f t="shared" si="25"/>
        <v/>
      </c>
      <c r="Z199" s="2"/>
      <c r="AA199" s="2">
        <v>490</v>
      </c>
      <c r="AB199" s="2">
        <v>580</v>
      </c>
      <c r="AC199" s="4" t="s">
        <v>389</v>
      </c>
      <c r="AD199" s="4">
        <v>32000</v>
      </c>
      <c r="AE199" s="2">
        <v>4094</v>
      </c>
      <c r="AF199" s="4" t="s">
        <v>456</v>
      </c>
    </row>
    <row r="200" spans="1:32" x14ac:dyDescent="0.2">
      <c r="A200" s="2" t="str">
        <f t="shared" si="28"/>
        <v>C9300-48UXM-E-C9300-NM-4M</v>
      </c>
      <c r="B200" s="2" t="s">
        <v>134</v>
      </c>
      <c r="C200" s="2" t="s">
        <v>95</v>
      </c>
      <c r="D200" s="2" t="s">
        <v>129</v>
      </c>
      <c r="E200" s="2" t="s">
        <v>138</v>
      </c>
      <c r="F200" s="2" t="s">
        <v>352</v>
      </c>
      <c r="G200" s="2"/>
      <c r="H200" s="2"/>
      <c r="I200" s="2"/>
      <c r="J200" s="2"/>
      <c r="K200" s="2"/>
      <c r="L200" s="2"/>
      <c r="M200" s="2">
        <v>36</v>
      </c>
      <c r="N200" s="2"/>
      <c r="O200" s="2">
        <v>12</v>
      </c>
      <c r="P200" s="2"/>
      <c r="Q200" s="2"/>
      <c r="R200" s="2"/>
      <c r="S200" s="2"/>
      <c r="T200" s="2"/>
      <c r="U200" s="29" t="str">
        <f t="shared" si="21"/>
        <v/>
      </c>
      <c r="V200" s="4" t="str">
        <f t="shared" si="22"/>
        <v>4</v>
      </c>
      <c r="W200" s="4" t="str">
        <f t="shared" si="23"/>
        <v/>
      </c>
      <c r="X200" s="4" t="str">
        <f t="shared" si="24"/>
        <v/>
      </c>
      <c r="Y200" s="4" t="str">
        <f t="shared" si="25"/>
        <v/>
      </c>
      <c r="Z200" s="2"/>
      <c r="AA200" s="2">
        <v>490</v>
      </c>
      <c r="AB200" s="2">
        <v>580</v>
      </c>
      <c r="AC200" s="4" t="s">
        <v>389</v>
      </c>
      <c r="AD200" s="4">
        <v>32000</v>
      </c>
      <c r="AE200" s="2">
        <v>4094</v>
      </c>
      <c r="AF200" s="4" t="s">
        <v>456</v>
      </c>
    </row>
    <row r="201" spans="1:32" x14ac:dyDescent="0.2">
      <c r="A201" s="2" t="str">
        <f t="shared" si="28"/>
        <v>C9300-48UXM-E-C9300-NM-8X</v>
      </c>
      <c r="B201" s="2" t="s">
        <v>134</v>
      </c>
      <c r="C201" s="2" t="s">
        <v>95</v>
      </c>
      <c r="D201" s="2" t="s">
        <v>129</v>
      </c>
      <c r="E201" s="2" t="s">
        <v>139</v>
      </c>
      <c r="F201" s="2" t="s">
        <v>352</v>
      </c>
      <c r="G201" s="2"/>
      <c r="H201" s="2"/>
      <c r="I201" s="2"/>
      <c r="J201" s="2"/>
      <c r="K201" s="2"/>
      <c r="L201" s="2"/>
      <c r="M201" s="2">
        <v>36</v>
      </c>
      <c r="N201" s="2"/>
      <c r="O201" s="2">
        <v>12</v>
      </c>
      <c r="P201" s="2"/>
      <c r="Q201" s="2"/>
      <c r="R201" s="2"/>
      <c r="S201" s="2"/>
      <c r="T201" s="2"/>
      <c r="U201" s="29" t="str">
        <f t="shared" si="21"/>
        <v/>
      </c>
      <c r="V201" s="4" t="str">
        <f t="shared" si="22"/>
        <v/>
      </c>
      <c r="W201" s="4" t="str">
        <f t="shared" si="23"/>
        <v>8</v>
      </c>
      <c r="X201" s="4" t="str">
        <f t="shared" si="24"/>
        <v/>
      </c>
      <c r="Y201" s="4" t="str">
        <f t="shared" si="25"/>
        <v/>
      </c>
      <c r="Z201" s="2"/>
      <c r="AA201" s="2">
        <v>490</v>
      </c>
      <c r="AB201" s="2">
        <v>580</v>
      </c>
      <c r="AC201" s="4" t="s">
        <v>389</v>
      </c>
      <c r="AD201" s="4">
        <v>32000</v>
      </c>
      <c r="AE201" s="2">
        <v>4094</v>
      </c>
      <c r="AF201" s="4" t="s">
        <v>456</v>
      </c>
    </row>
    <row r="202" spans="1:32" x14ac:dyDescent="0.2">
      <c r="A202" s="2" t="str">
        <f t="shared" si="28"/>
        <v>C9300-48UXM-E-C9300-NM-2Q</v>
      </c>
      <c r="B202" s="2" t="s">
        <v>134</v>
      </c>
      <c r="C202" s="2" t="s">
        <v>95</v>
      </c>
      <c r="D202" s="2" t="s">
        <v>129</v>
      </c>
      <c r="E202" s="2" t="s">
        <v>140</v>
      </c>
      <c r="F202" s="2" t="s">
        <v>352</v>
      </c>
      <c r="G202" s="2"/>
      <c r="H202" s="2"/>
      <c r="I202" s="2"/>
      <c r="J202" s="2"/>
      <c r="K202" s="2"/>
      <c r="L202" s="2"/>
      <c r="M202" s="2">
        <v>36</v>
      </c>
      <c r="N202" s="2"/>
      <c r="O202" s="2">
        <v>12</v>
      </c>
      <c r="P202" s="2"/>
      <c r="Q202" s="2"/>
      <c r="R202" s="2"/>
      <c r="S202" s="2"/>
      <c r="T202" s="2"/>
      <c r="U202" s="29" t="str">
        <f t="shared" si="21"/>
        <v/>
      </c>
      <c r="V202" s="4" t="str">
        <f t="shared" si="22"/>
        <v/>
      </c>
      <c r="W202" s="4" t="str">
        <f t="shared" si="23"/>
        <v/>
      </c>
      <c r="X202" s="4" t="str">
        <f t="shared" si="24"/>
        <v/>
      </c>
      <c r="Y202" s="4" t="str">
        <f t="shared" si="25"/>
        <v>2</v>
      </c>
      <c r="Z202" s="2"/>
      <c r="AA202" s="2">
        <v>490</v>
      </c>
      <c r="AB202" s="2">
        <v>580</v>
      </c>
      <c r="AC202" s="4" t="s">
        <v>389</v>
      </c>
      <c r="AD202" s="4">
        <v>32000</v>
      </c>
      <c r="AE202" s="2">
        <v>4094</v>
      </c>
      <c r="AF202" s="4" t="s">
        <v>456</v>
      </c>
    </row>
    <row r="203" spans="1:32" x14ac:dyDescent="0.2">
      <c r="A203" s="2" t="str">
        <f t="shared" si="28"/>
        <v>C9300-48UXM-E-C9300-NM-2Y</v>
      </c>
      <c r="B203" s="2" t="s">
        <v>134</v>
      </c>
      <c r="C203" s="2" t="s">
        <v>95</v>
      </c>
      <c r="D203" s="2" t="s">
        <v>129</v>
      </c>
      <c r="E203" s="2" t="s">
        <v>141</v>
      </c>
      <c r="F203" s="2" t="s">
        <v>352</v>
      </c>
      <c r="G203" s="2"/>
      <c r="H203" s="2"/>
      <c r="I203" s="2"/>
      <c r="J203" s="2"/>
      <c r="K203" s="2"/>
      <c r="L203" s="2"/>
      <c r="M203" s="2">
        <v>36</v>
      </c>
      <c r="N203" s="2"/>
      <c r="O203" s="2">
        <v>12</v>
      </c>
      <c r="P203" s="2"/>
      <c r="Q203" s="2"/>
      <c r="R203" s="2"/>
      <c r="S203" s="2"/>
      <c r="T203" s="2"/>
      <c r="U203" s="29" t="str">
        <f t="shared" si="21"/>
        <v/>
      </c>
      <c r="V203" s="4" t="str">
        <f t="shared" si="22"/>
        <v/>
      </c>
      <c r="W203" s="4" t="str">
        <f t="shared" si="23"/>
        <v/>
      </c>
      <c r="X203" s="4" t="str">
        <f t="shared" si="24"/>
        <v>2</v>
      </c>
      <c r="Y203" s="4" t="str">
        <f t="shared" si="25"/>
        <v/>
      </c>
      <c r="Z203" s="2"/>
      <c r="AA203" s="2">
        <v>490</v>
      </c>
      <c r="AB203" s="2">
        <v>580</v>
      </c>
      <c r="AC203" s="4" t="s">
        <v>389</v>
      </c>
      <c r="AD203" s="4">
        <v>32000</v>
      </c>
      <c r="AE203" s="2">
        <v>4094</v>
      </c>
      <c r="AF203" s="4" t="s">
        <v>456</v>
      </c>
    </row>
    <row r="204" spans="1:32" x14ac:dyDescent="0.2">
      <c r="A204" s="2" t="str">
        <f t="shared" si="27"/>
        <v>C9300-48UN-E-C9300-NM-4G</v>
      </c>
      <c r="B204" s="2" t="s">
        <v>134</v>
      </c>
      <c r="C204" s="2" t="s">
        <v>94</v>
      </c>
      <c r="D204" s="2" t="s">
        <v>129</v>
      </c>
      <c r="E204" s="2" t="s">
        <v>137</v>
      </c>
      <c r="F204" s="2" t="s">
        <v>352</v>
      </c>
      <c r="G204" s="2"/>
      <c r="H204" s="2"/>
      <c r="I204" s="2"/>
      <c r="J204" s="2"/>
      <c r="K204" s="2"/>
      <c r="L204" s="2"/>
      <c r="M204" s="2"/>
      <c r="N204" s="2"/>
      <c r="O204" s="2">
        <v>48</v>
      </c>
      <c r="P204" s="2"/>
      <c r="Q204" s="2"/>
      <c r="R204" s="2"/>
      <c r="S204" s="2"/>
      <c r="T204" s="2"/>
      <c r="U204" s="29" t="str">
        <f t="shared" si="21"/>
        <v>4</v>
      </c>
      <c r="V204" s="4" t="str">
        <f t="shared" si="22"/>
        <v/>
      </c>
      <c r="W204" s="4" t="str">
        <f t="shared" si="23"/>
        <v/>
      </c>
      <c r="X204" s="4" t="str">
        <f t="shared" si="24"/>
        <v/>
      </c>
      <c r="Y204" s="4" t="str">
        <f t="shared" si="25"/>
        <v/>
      </c>
      <c r="Z204" s="2"/>
      <c r="AA204" s="2">
        <v>645</v>
      </c>
      <c r="AB204" s="2">
        <v>640</v>
      </c>
      <c r="AC204" s="4" t="s">
        <v>389</v>
      </c>
      <c r="AD204" s="4">
        <v>32000</v>
      </c>
      <c r="AE204" s="2">
        <v>4094</v>
      </c>
      <c r="AF204" s="4" t="s">
        <v>456</v>
      </c>
    </row>
    <row r="205" spans="1:32" x14ac:dyDescent="0.2">
      <c r="A205" s="2" t="str">
        <f t="shared" si="27"/>
        <v>C9300-48UN-E-C9300-NM-4M</v>
      </c>
      <c r="B205" s="2" t="s">
        <v>134</v>
      </c>
      <c r="C205" s="2" t="s">
        <v>94</v>
      </c>
      <c r="D205" s="2" t="s">
        <v>129</v>
      </c>
      <c r="E205" s="2" t="s">
        <v>138</v>
      </c>
      <c r="F205" s="2" t="s">
        <v>352</v>
      </c>
      <c r="G205" s="2"/>
      <c r="H205" s="2"/>
      <c r="I205" s="2"/>
      <c r="J205" s="2"/>
      <c r="K205" s="2"/>
      <c r="L205" s="2"/>
      <c r="M205" s="2"/>
      <c r="N205" s="2"/>
      <c r="O205" s="2">
        <v>48</v>
      </c>
      <c r="P205" s="2"/>
      <c r="Q205" s="2"/>
      <c r="R205" s="2"/>
      <c r="S205" s="2"/>
      <c r="T205" s="2"/>
      <c r="U205" s="29" t="str">
        <f t="shared" si="21"/>
        <v/>
      </c>
      <c r="V205" s="4" t="str">
        <f t="shared" si="22"/>
        <v>4</v>
      </c>
      <c r="W205" s="4" t="str">
        <f t="shared" si="23"/>
        <v/>
      </c>
      <c r="X205" s="4" t="str">
        <f t="shared" si="24"/>
        <v/>
      </c>
      <c r="Y205" s="4" t="str">
        <f t="shared" si="25"/>
        <v/>
      </c>
      <c r="Z205" s="2"/>
      <c r="AA205" s="2">
        <v>645</v>
      </c>
      <c r="AB205" s="2">
        <v>640</v>
      </c>
      <c r="AC205" s="4" t="s">
        <v>389</v>
      </c>
      <c r="AD205" s="4">
        <v>32000</v>
      </c>
      <c r="AE205" s="2">
        <v>4094</v>
      </c>
      <c r="AF205" s="4" t="s">
        <v>456</v>
      </c>
    </row>
    <row r="206" spans="1:32" x14ac:dyDescent="0.2">
      <c r="A206" s="2" t="str">
        <f t="shared" si="27"/>
        <v>C9300-48UN-E-C9300-NM-8X</v>
      </c>
      <c r="B206" s="2" t="s">
        <v>134</v>
      </c>
      <c r="C206" s="2" t="s">
        <v>94</v>
      </c>
      <c r="D206" s="2" t="s">
        <v>129</v>
      </c>
      <c r="E206" s="2" t="s">
        <v>139</v>
      </c>
      <c r="F206" s="2" t="s">
        <v>352</v>
      </c>
      <c r="G206" s="2"/>
      <c r="H206" s="2"/>
      <c r="I206" s="2"/>
      <c r="J206" s="2"/>
      <c r="K206" s="2"/>
      <c r="L206" s="2"/>
      <c r="M206" s="2"/>
      <c r="N206" s="2"/>
      <c r="O206" s="2">
        <v>48</v>
      </c>
      <c r="P206" s="2"/>
      <c r="Q206" s="2"/>
      <c r="R206" s="2"/>
      <c r="S206" s="2"/>
      <c r="T206" s="2"/>
      <c r="U206" s="29" t="str">
        <f t="shared" si="21"/>
        <v/>
      </c>
      <c r="V206" s="4" t="str">
        <f t="shared" si="22"/>
        <v/>
      </c>
      <c r="W206" s="4" t="str">
        <f t="shared" si="23"/>
        <v>8</v>
      </c>
      <c r="X206" s="4" t="str">
        <f t="shared" si="24"/>
        <v/>
      </c>
      <c r="Y206" s="4" t="str">
        <f t="shared" si="25"/>
        <v/>
      </c>
      <c r="Z206" s="2"/>
      <c r="AA206" s="2">
        <v>645</v>
      </c>
      <c r="AB206" s="2">
        <v>640</v>
      </c>
      <c r="AC206" s="4" t="s">
        <v>389</v>
      </c>
      <c r="AD206" s="4">
        <v>32000</v>
      </c>
      <c r="AE206" s="2">
        <v>4094</v>
      </c>
      <c r="AF206" s="4" t="s">
        <v>456</v>
      </c>
    </row>
    <row r="207" spans="1:32" x14ac:dyDescent="0.2">
      <c r="A207" s="2" t="str">
        <f t="shared" si="27"/>
        <v>C9300-48UN-E-C9300-NM-2Q</v>
      </c>
      <c r="B207" s="2" t="s">
        <v>134</v>
      </c>
      <c r="C207" s="2" t="s">
        <v>94</v>
      </c>
      <c r="D207" s="2" t="s">
        <v>129</v>
      </c>
      <c r="E207" s="2" t="s">
        <v>140</v>
      </c>
      <c r="F207" s="2" t="s">
        <v>352</v>
      </c>
      <c r="G207" s="2"/>
      <c r="H207" s="2"/>
      <c r="I207" s="2"/>
      <c r="J207" s="2"/>
      <c r="K207" s="2"/>
      <c r="L207" s="2"/>
      <c r="M207" s="2"/>
      <c r="N207" s="2"/>
      <c r="O207" s="2">
        <v>48</v>
      </c>
      <c r="P207" s="2"/>
      <c r="Q207" s="2"/>
      <c r="R207" s="2"/>
      <c r="S207" s="2"/>
      <c r="T207" s="2"/>
      <c r="U207" s="29" t="str">
        <f t="shared" si="21"/>
        <v/>
      </c>
      <c r="V207" s="4" t="str">
        <f t="shared" si="22"/>
        <v/>
      </c>
      <c r="W207" s="4" t="str">
        <f t="shared" si="23"/>
        <v/>
      </c>
      <c r="X207" s="4" t="str">
        <f t="shared" si="24"/>
        <v/>
      </c>
      <c r="Y207" s="4" t="str">
        <f t="shared" si="25"/>
        <v>2</v>
      </c>
      <c r="Z207" s="2"/>
      <c r="AA207" s="2">
        <v>645</v>
      </c>
      <c r="AB207" s="2">
        <v>640</v>
      </c>
      <c r="AC207" s="4" t="s">
        <v>389</v>
      </c>
      <c r="AD207" s="4">
        <v>32000</v>
      </c>
      <c r="AE207" s="2">
        <v>4094</v>
      </c>
      <c r="AF207" s="4" t="s">
        <v>456</v>
      </c>
    </row>
    <row r="208" spans="1:32" x14ac:dyDescent="0.2">
      <c r="A208" s="2" t="str">
        <f t="shared" si="27"/>
        <v>C9300-48UN-E-C9300-NM-2Y</v>
      </c>
      <c r="B208" s="2" t="s">
        <v>134</v>
      </c>
      <c r="C208" s="2" t="s">
        <v>94</v>
      </c>
      <c r="D208" s="2" t="s">
        <v>129</v>
      </c>
      <c r="E208" s="2" t="s">
        <v>141</v>
      </c>
      <c r="F208" s="2" t="s">
        <v>352</v>
      </c>
      <c r="G208" s="2"/>
      <c r="H208" s="2"/>
      <c r="I208" s="2"/>
      <c r="J208" s="2"/>
      <c r="K208" s="2"/>
      <c r="L208" s="2"/>
      <c r="M208" s="2"/>
      <c r="N208" s="2"/>
      <c r="O208" s="2">
        <v>48</v>
      </c>
      <c r="P208" s="2"/>
      <c r="Q208" s="2"/>
      <c r="R208" s="2"/>
      <c r="S208" s="2"/>
      <c r="T208" s="2"/>
      <c r="U208" s="29" t="str">
        <f t="shared" si="21"/>
        <v/>
      </c>
      <c r="V208" s="4" t="str">
        <f t="shared" si="22"/>
        <v/>
      </c>
      <c r="W208" s="4" t="str">
        <f t="shared" si="23"/>
        <v/>
      </c>
      <c r="X208" s="4" t="str">
        <f t="shared" si="24"/>
        <v>2</v>
      </c>
      <c r="Y208" s="4" t="str">
        <f t="shared" si="25"/>
        <v/>
      </c>
      <c r="Z208" s="2"/>
      <c r="AA208" s="2">
        <v>645</v>
      </c>
      <c r="AB208" s="2">
        <v>640</v>
      </c>
      <c r="AC208" s="4" t="s">
        <v>389</v>
      </c>
      <c r="AD208" s="4">
        <v>32000</v>
      </c>
      <c r="AE208" s="2">
        <v>4094</v>
      </c>
      <c r="AF208" s="4" t="s">
        <v>456</v>
      </c>
    </row>
    <row r="209" spans="1:32" x14ac:dyDescent="0.2">
      <c r="A209" s="2" t="str">
        <f t="shared" si="27"/>
        <v>C9300-24UB-E-C9300-NM-4G</v>
      </c>
      <c r="B209" s="2" t="s">
        <v>134</v>
      </c>
      <c r="C209" s="2" t="s">
        <v>481</v>
      </c>
      <c r="D209" s="2" t="s">
        <v>129</v>
      </c>
      <c r="E209" s="2" t="s">
        <v>137</v>
      </c>
      <c r="F209" s="2" t="s">
        <v>352</v>
      </c>
      <c r="G209" s="2"/>
      <c r="H209" s="2"/>
      <c r="I209" s="2"/>
      <c r="J209" s="2">
        <v>24</v>
      </c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9" t="str">
        <f t="shared" si="21"/>
        <v>4</v>
      </c>
      <c r="V209" s="4" t="str">
        <f t="shared" si="22"/>
        <v/>
      </c>
      <c r="W209" s="4" t="str">
        <f t="shared" si="23"/>
        <v/>
      </c>
      <c r="X209" s="4" t="str">
        <f t="shared" si="24"/>
        <v/>
      </c>
      <c r="Y209" s="4" t="str">
        <f t="shared" si="25"/>
        <v/>
      </c>
      <c r="Z209" s="2"/>
      <c r="AA209" s="2">
        <v>830</v>
      </c>
      <c r="AB209" s="4">
        <v>208</v>
      </c>
      <c r="AC209" s="4" t="s">
        <v>389</v>
      </c>
      <c r="AD209" s="4">
        <v>64000</v>
      </c>
      <c r="AE209" s="2">
        <v>4094</v>
      </c>
      <c r="AF209" s="4" t="s">
        <v>456</v>
      </c>
    </row>
    <row r="210" spans="1:32" x14ac:dyDescent="0.2">
      <c r="A210" s="2" t="str">
        <f t="shared" si="27"/>
        <v>C9300-24UB-E-C9300-NM-4M</v>
      </c>
      <c r="B210" s="2" t="s">
        <v>134</v>
      </c>
      <c r="C210" s="2" t="s">
        <v>481</v>
      </c>
      <c r="D210" s="2" t="s">
        <v>129</v>
      </c>
      <c r="E210" s="2" t="s">
        <v>138</v>
      </c>
      <c r="F210" s="2" t="s">
        <v>352</v>
      </c>
      <c r="G210" s="2"/>
      <c r="H210" s="2"/>
      <c r="I210" s="2"/>
      <c r="J210" s="2">
        <v>24</v>
      </c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9" t="str">
        <f t="shared" si="21"/>
        <v/>
      </c>
      <c r="V210" s="4" t="str">
        <f t="shared" si="22"/>
        <v>4</v>
      </c>
      <c r="W210" s="4" t="str">
        <f t="shared" si="23"/>
        <v/>
      </c>
      <c r="X210" s="4" t="str">
        <f t="shared" si="24"/>
        <v/>
      </c>
      <c r="Y210" s="4" t="str">
        <f t="shared" si="25"/>
        <v/>
      </c>
      <c r="Z210" s="2"/>
      <c r="AA210" s="2">
        <v>830</v>
      </c>
      <c r="AB210" s="2">
        <v>208</v>
      </c>
      <c r="AC210" s="4" t="s">
        <v>389</v>
      </c>
      <c r="AD210" s="4">
        <v>64000</v>
      </c>
      <c r="AE210" s="2">
        <v>4094</v>
      </c>
      <c r="AF210" s="4" t="s">
        <v>456</v>
      </c>
    </row>
    <row r="211" spans="1:32" x14ac:dyDescent="0.2">
      <c r="A211" s="2" t="str">
        <f t="shared" si="27"/>
        <v>C9300-24UB-E-C9300-NM-8X</v>
      </c>
      <c r="B211" s="2" t="s">
        <v>134</v>
      </c>
      <c r="C211" s="2" t="s">
        <v>481</v>
      </c>
      <c r="D211" s="2" t="s">
        <v>129</v>
      </c>
      <c r="E211" s="2" t="s">
        <v>139</v>
      </c>
      <c r="F211" s="2" t="s">
        <v>352</v>
      </c>
      <c r="G211" s="2"/>
      <c r="H211" s="2"/>
      <c r="I211" s="2"/>
      <c r="J211" s="2">
        <v>24</v>
      </c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9" t="str">
        <f t="shared" si="21"/>
        <v/>
      </c>
      <c r="V211" s="4" t="str">
        <f t="shared" si="22"/>
        <v/>
      </c>
      <c r="W211" s="4" t="str">
        <f t="shared" si="23"/>
        <v>8</v>
      </c>
      <c r="X211" s="4" t="str">
        <f t="shared" si="24"/>
        <v/>
      </c>
      <c r="Y211" s="4" t="str">
        <f t="shared" si="25"/>
        <v/>
      </c>
      <c r="Z211" s="2"/>
      <c r="AA211" s="2">
        <v>830</v>
      </c>
      <c r="AB211" s="2">
        <v>208</v>
      </c>
      <c r="AC211" s="4" t="s">
        <v>389</v>
      </c>
      <c r="AD211" s="4">
        <v>64000</v>
      </c>
      <c r="AE211" s="2">
        <v>4094</v>
      </c>
      <c r="AF211" s="4" t="s">
        <v>456</v>
      </c>
    </row>
    <row r="212" spans="1:32" x14ac:dyDescent="0.2">
      <c r="A212" s="2" t="str">
        <f t="shared" si="27"/>
        <v>C9300-24UB-E-C9300-NM-2Q</v>
      </c>
      <c r="B212" s="2" t="s">
        <v>134</v>
      </c>
      <c r="C212" s="2" t="s">
        <v>481</v>
      </c>
      <c r="D212" s="2" t="s">
        <v>129</v>
      </c>
      <c r="E212" s="2" t="s">
        <v>140</v>
      </c>
      <c r="F212" s="2" t="s">
        <v>352</v>
      </c>
      <c r="G212" s="2"/>
      <c r="H212" s="2"/>
      <c r="I212" s="2"/>
      <c r="J212" s="2">
        <v>24</v>
      </c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9" t="str">
        <f t="shared" si="21"/>
        <v/>
      </c>
      <c r="V212" s="4" t="str">
        <f t="shared" si="22"/>
        <v/>
      </c>
      <c r="W212" s="4" t="str">
        <f t="shared" si="23"/>
        <v/>
      </c>
      <c r="X212" s="4" t="str">
        <f t="shared" si="24"/>
        <v/>
      </c>
      <c r="Y212" s="4" t="str">
        <f t="shared" si="25"/>
        <v>2</v>
      </c>
      <c r="Z212" s="2"/>
      <c r="AA212" s="2">
        <v>830</v>
      </c>
      <c r="AB212" s="2">
        <v>208</v>
      </c>
      <c r="AC212" s="4" t="s">
        <v>389</v>
      </c>
      <c r="AD212" s="4">
        <v>64000</v>
      </c>
      <c r="AE212" s="2">
        <v>4094</v>
      </c>
      <c r="AF212" s="4" t="s">
        <v>456</v>
      </c>
    </row>
    <row r="213" spans="1:32" x14ac:dyDescent="0.2">
      <c r="A213" s="2" t="str">
        <f t="shared" si="27"/>
        <v>C9300-24UB-E-C9300-NM-2Y</v>
      </c>
      <c r="B213" s="2" t="s">
        <v>134</v>
      </c>
      <c r="C213" s="2" t="s">
        <v>481</v>
      </c>
      <c r="D213" s="2" t="s">
        <v>129</v>
      </c>
      <c r="E213" s="2" t="s">
        <v>141</v>
      </c>
      <c r="F213" s="2" t="s">
        <v>352</v>
      </c>
      <c r="G213" s="2"/>
      <c r="H213" s="2"/>
      <c r="I213" s="2"/>
      <c r="J213" s="2">
        <v>24</v>
      </c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9" t="str">
        <f t="shared" si="21"/>
        <v/>
      </c>
      <c r="V213" s="4" t="str">
        <f t="shared" si="22"/>
        <v/>
      </c>
      <c r="W213" s="4" t="str">
        <f t="shared" si="23"/>
        <v/>
      </c>
      <c r="X213" s="4" t="str">
        <f t="shared" si="24"/>
        <v>2</v>
      </c>
      <c r="Y213" s="4" t="str">
        <f t="shared" si="25"/>
        <v/>
      </c>
      <c r="Z213" s="2"/>
      <c r="AA213" s="2">
        <v>830</v>
      </c>
      <c r="AB213" s="2">
        <v>208</v>
      </c>
      <c r="AC213" s="4" t="s">
        <v>389</v>
      </c>
      <c r="AD213" s="4">
        <v>64000</v>
      </c>
      <c r="AE213" s="2">
        <v>4094</v>
      </c>
      <c r="AF213" s="4" t="s">
        <v>456</v>
      </c>
    </row>
    <row r="214" spans="1:32" x14ac:dyDescent="0.2">
      <c r="A214" s="2" t="str">
        <f t="shared" ref="A214:A233" si="29">IF(D214="Fixed",C214,C214&amp;"-"&amp;E214)</f>
        <v>C9300-24UXB-E-C9300-NM-4G</v>
      </c>
      <c r="B214" s="2" t="s">
        <v>134</v>
      </c>
      <c r="C214" s="2" t="s">
        <v>482</v>
      </c>
      <c r="D214" s="2" t="s">
        <v>129</v>
      </c>
      <c r="E214" s="2" t="s">
        <v>137</v>
      </c>
      <c r="F214" s="2" t="s">
        <v>352</v>
      </c>
      <c r="G214" s="2"/>
      <c r="H214" s="2"/>
      <c r="I214" s="2"/>
      <c r="J214" s="2"/>
      <c r="K214" s="2"/>
      <c r="L214" s="2"/>
      <c r="M214" s="2"/>
      <c r="N214" s="2"/>
      <c r="O214" s="2">
        <v>24</v>
      </c>
      <c r="P214" s="2"/>
      <c r="Q214" s="2"/>
      <c r="R214" s="2"/>
      <c r="S214" s="2"/>
      <c r="T214" s="2"/>
      <c r="U214" s="29" t="str">
        <f t="shared" si="21"/>
        <v>4</v>
      </c>
      <c r="V214" s="4" t="str">
        <f t="shared" si="22"/>
        <v/>
      </c>
      <c r="W214" s="4" t="str">
        <f t="shared" si="23"/>
        <v/>
      </c>
      <c r="X214" s="4" t="str">
        <f t="shared" si="24"/>
        <v/>
      </c>
      <c r="Y214" s="4" t="str">
        <f t="shared" si="25"/>
        <v/>
      </c>
      <c r="Z214" s="2"/>
      <c r="AA214" s="2">
        <v>560</v>
      </c>
      <c r="AB214" s="2">
        <v>640</v>
      </c>
      <c r="AC214" s="4" t="s">
        <v>389</v>
      </c>
      <c r="AD214" s="4">
        <v>64000</v>
      </c>
      <c r="AE214" s="2">
        <v>4094</v>
      </c>
      <c r="AF214" s="4" t="s">
        <v>456</v>
      </c>
    </row>
    <row r="215" spans="1:32" x14ac:dyDescent="0.2">
      <c r="A215" s="2" t="str">
        <f t="shared" si="29"/>
        <v>C9300-24UXB-E-C9300-NM-4M</v>
      </c>
      <c r="B215" s="2" t="s">
        <v>134</v>
      </c>
      <c r="C215" s="2" t="s">
        <v>482</v>
      </c>
      <c r="D215" s="2" t="s">
        <v>129</v>
      </c>
      <c r="E215" s="2" t="s">
        <v>138</v>
      </c>
      <c r="F215" s="2" t="s">
        <v>352</v>
      </c>
      <c r="G215" s="2"/>
      <c r="H215" s="2"/>
      <c r="I215" s="2"/>
      <c r="J215" s="2"/>
      <c r="K215" s="2"/>
      <c r="L215" s="2"/>
      <c r="M215" s="2"/>
      <c r="N215" s="2"/>
      <c r="O215" s="2">
        <v>24</v>
      </c>
      <c r="P215" s="2"/>
      <c r="Q215" s="2"/>
      <c r="R215" s="2"/>
      <c r="S215" s="2"/>
      <c r="T215" s="2"/>
      <c r="U215" s="29" t="str">
        <f t="shared" si="21"/>
        <v/>
      </c>
      <c r="V215" s="4" t="str">
        <f t="shared" si="22"/>
        <v>4</v>
      </c>
      <c r="W215" s="4" t="str">
        <f t="shared" si="23"/>
        <v/>
      </c>
      <c r="X215" s="4" t="str">
        <f t="shared" si="24"/>
        <v/>
      </c>
      <c r="Y215" s="4" t="str">
        <f t="shared" si="25"/>
        <v/>
      </c>
      <c r="Z215" s="2"/>
      <c r="AA215" s="2">
        <v>560</v>
      </c>
      <c r="AB215" s="2">
        <v>640</v>
      </c>
      <c r="AC215" s="4" t="s">
        <v>389</v>
      </c>
      <c r="AD215" s="4">
        <v>64000</v>
      </c>
      <c r="AE215" s="2">
        <v>4094</v>
      </c>
      <c r="AF215" s="4" t="s">
        <v>456</v>
      </c>
    </row>
    <row r="216" spans="1:32" x14ac:dyDescent="0.2">
      <c r="A216" s="2" t="str">
        <f t="shared" si="29"/>
        <v>C9300-24UXB-E-C9300-NM-8X</v>
      </c>
      <c r="B216" s="2" t="s">
        <v>134</v>
      </c>
      <c r="C216" s="2" t="s">
        <v>482</v>
      </c>
      <c r="D216" s="2" t="s">
        <v>129</v>
      </c>
      <c r="E216" s="2" t="s">
        <v>139</v>
      </c>
      <c r="F216" s="2" t="s">
        <v>352</v>
      </c>
      <c r="G216" s="2"/>
      <c r="H216" s="2"/>
      <c r="I216" s="2"/>
      <c r="J216" s="2"/>
      <c r="K216" s="2"/>
      <c r="L216" s="2"/>
      <c r="M216" s="2"/>
      <c r="N216" s="2"/>
      <c r="O216" s="2">
        <v>24</v>
      </c>
      <c r="P216" s="2"/>
      <c r="Q216" s="2"/>
      <c r="R216" s="2"/>
      <c r="S216" s="2"/>
      <c r="T216" s="2"/>
      <c r="U216" s="29" t="str">
        <f t="shared" si="21"/>
        <v/>
      </c>
      <c r="V216" s="4" t="str">
        <f t="shared" si="22"/>
        <v/>
      </c>
      <c r="W216" s="4" t="str">
        <f t="shared" si="23"/>
        <v>8</v>
      </c>
      <c r="X216" s="4" t="str">
        <f t="shared" si="24"/>
        <v/>
      </c>
      <c r="Y216" s="4" t="str">
        <f t="shared" si="25"/>
        <v/>
      </c>
      <c r="Z216" s="2"/>
      <c r="AA216" s="2">
        <v>560</v>
      </c>
      <c r="AB216" s="2">
        <v>640</v>
      </c>
      <c r="AC216" s="4" t="s">
        <v>389</v>
      </c>
      <c r="AD216" s="4">
        <v>64000</v>
      </c>
      <c r="AE216" s="2">
        <v>4094</v>
      </c>
      <c r="AF216" s="4" t="s">
        <v>456</v>
      </c>
    </row>
    <row r="217" spans="1:32" x14ac:dyDescent="0.2">
      <c r="A217" s="2" t="str">
        <f t="shared" si="29"/>
        <v>C9300-24UXB-E-C9300-NM-2Q</v>
      </c>
      <c r="B217" s="2" t="s">
        <v>134</v>
      </c>
      <c r="C217" s="2" t="s">
        <v>482</v>
      </c>
      <c r="D217" s="2" t="s">
        <v>129</v>
      </c>
      <c r="E217" s="2" t="s">
        <v>140</v>
      </c>
      <c r="F217" s="2" t="s">
        <v>352</v>
      </c>
      <c r="G217" s="2"/>
      <c r="H217" s="2"/>
      <c r="I217" s="2"/>
      <c r="J217" s="2"/>
      <c r="K217" s="2"/>
      <c r="L217" s="2"/>
      <c r="M217" s="2"/>
      <c r="N217" s="2"/>
      <c r="O217" s="2">
        <v>24</v>
      </c>
      <c r="P217" s="2"/>
      <c r="Q217" s="2"/>
      <c r="R217" s="2"/>
      <c r="S217" s="2"/>
      <c r="T217" s="2"/>
      <c r="U217" s="29" t="str">
        <f t="shared" si="21"/>
        <v/>
      </c>
      <c r="V217" s="4" t="str">
        <f t="shared" si="22"/>
        <v/>
      </c>
      <c r="W217" s="4" t="str">
        <f t="shared" si="23"/>
        <v/>
      </c>
      <c r="X217" s="4" t="str">
        <f t="shared" si="24"/>
        <v/>
      </c>
      <c r="Y217" s="4" t="str">
        <f t="shared" si="25"/>
        <v>2</v>
      </c>
      <c r="Z217" s="2"/>
      <c r="AA217" s="2">
        <v>560</v>
      </c>
      <c r="AB217" s="2">
        <v>640</v>
      </c>
      <c r="AC217" s="4" t="s">
        <v>389</v>
      </c>
      <c r="AD217" s="4">
        <v>64000</v>
      </c>
      <c r="AE217" s="2">
        <v>4094</v>
      </c>
      <c r="AF217" s="4" t="s">
        <v>456</v>
      </c>
    </row>
    <row r="218" spans="1:32" x14ac:dyDescent="0.2">
      <c r="A218" s="2" t="str">
        <f t="shared" si="29"/>
        <v>C9300-24UXB-E-C9300-NM-2Y</v>
      </c>
      <c r="B218" s="2" t="s">
        <v>134</v>
      </c>
      <c r="C218" s="2" t="s">
        <v>482</v>
      </c>
      <c r="D218" s="2" t="s">
        <v>129</v>
      </c>
      <c r="E218" s="2" t="s">
        <v>141</v>
      </c>
      <c r="F218" s="2" t="s">
        <v>352</v>
      </c>
      <c r="G218" s="2"/>
      <c r="H218" s="2"/>
      <c r="I218" s="2"/>
      <c r="J218" s="2"/>
      <c r="K218" s="2"/>
      <c r="L218" s="2"/>
      <c r="M218" s="2"/>
      <c r="N218" s="2"/>
      <c r="O218" s="2">
        <v>24</v>
      </c>
      <c r="P218" s="2"/>
      <c r="Q218" s="2"/>
      <c r="R218" s="2"/>
      <c r="S218" s="2"/>
      <c r="T218" s="2"/>
      <c r="U218" s="29" t="str">
        <f t="shared" si="21"/>
        <v/>
      </c>
      <c r="V218" s="4" t="str">
        <f t="shared" si="22"/>
        <v/>
      </c>
      <c r="W218" s="4" t="str">
        <f t="shared" si="23"/>
        <v/>
      </c>
      <c r="X218" s="4" t="str">
        <f t="shared" si="24"/>
        <v>2</v>
      </c>
      <c r="Y218" s="4" t="str">
        <f t="shared" si="25"/>
        <v/>
      </c>
      <c r="Z218" s="2"/>
      <c r="AA218" s="2">
        <v>560</v>
      </c>
      <c r="AB218" s="2">
        <v>640</v>
      </c>
      <c r="AC218" s="4" t="s">
        <v>389</v>
      </c>
      <c r="AD218" s="4">
        <v>64000</v>
      </c>
      <c r="AE218" s="2">
        <v>4094</v>
      </c>
      <c r="AF218" s="4" t="s">
        <v>456</v>
      </c>
    </row>
    <row r="219" spans="1:32" x14ac:dyDescent="0.2">
      <c r="A219" s="2" t="str">
        <f t="shared" si="29"/>
        <v>C9300-48UB-E-C9300-NM-4G</v>
      </c>
      <c r="B219" s="2" t="s">
        <v>134</v>
      </c>
      <c r="C219" s="2" t="s">
        <v>480</v>
      </c>
      <c r="D219" s="2" t="s">
        <v>129</v>
      </c>
      <c r="E219" s="2" t="s">
        <v>137</v>
      </c>
      <c r="F219" s="2" t="s">
        <v>352</v>
      </c>
      <c r="G219" s="2"/>
      <c r="H219" s="2"/>
      <c r="I219" s="2"/>
      <c r="J219" s="2">
        <v>48</v>
      </c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9" t="str">
        <f t="shared" si="21"/>
        <v>4</v>
      </c>
      <c r="V219" s="4" t="str">
        <f t="shared" si="22"/>
        <v/>
      </c>
      <c r="W219" s="4" t="str">
        <f t="shared" si="23"/>
        <v/>
      </c>
      <c r="X219" s="4" t="str">
        <f t="shared" si="24"/>
        <v/>
      </c>
      <c r="Y219" s="4" t="str">
        <f t="shared" si="25"/>
        <v/>
      </c>
      <c r="Z219" s="2"/>
      <c r="AA219" s="2">
        <v>822</v>
      </c>
      <c r="AB219" s="2">
        <v>256</v>
      </c>
      <c r="AC219" s="4" t="s">
        <v>389</v>
      </c>
      <c r="AD219" s="4">
        <v>64000</v>
      </c>
      <c r="AE219" s="2">
        <v>4094</v>
      </c>
      <c r="AF219" s="4" t="s">
        <v>456</v>
      </c>
    </row>
    <row r="220" spans="1:32" x14ac:dyDescent="0.2">
      <c r="A220" s="2" t="str">
        <f t="shared" si="29"/>
        <v>C9300-48UB-E-C9300-NM-4M</v>
      </c>
      <c r="B220" s="2" t="s">
        <v>134</v>
      </c>
      <c r="C220" s="2" t="s">
        <v>480</v>
      </c>
      <c r="D220" s="2" t="s">
        <v>129</v>
      </c>
      <c r="E220" s="2" t="s">
        <v>138</v>
      </c>
      <c r="F220" s="2" t="s">
        <v>352</v>
      </c>
      <c r="G220" s="2"/>
      <c r="H220" s="2"/>
      <c r="I220" s="2"/>
      <c r="J220" s="2">
        <v>48</v>
      </c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9" t="str">
        <f t="shared" si="21"/>
        <v/>
      </c>
      <c r="V220" s="4" t="str">
        <f t="shared" si="22"/>
        <v>4</v>
      </c>
      <c r="W220" s="4" t="str">
        <f t="shared" si="23"/>
        <v/>
      </c>
      <c r="X220" s="4" t="str">
        <f t="shared" si="24"/>
        <v/>
      </c>
      <c r="Y220" s="4" t="str">
        <f t="shared" si="25"/>
        <v/>
      </c>
      <c r="Z220" s="2"/>
      <c r="AA220" s="2">
        <v>822</v>
      </c>
      <c r="AB220" s="2">
        <v>256</v>
      </c>
      <c r="AC220" s="4" t="s">
        <v>389</v>
      </c>
      <c r="AD220" s="4">
        <v>64000</v>
      </c>
      <c r="AE220" s="2">
        <v>4094</v>
      </c>
      <c r="AF220" s="4" t="s">
        <v>456</v>
      </c>
    </row>
    <row r="221" spans="1:32" x14ac:dyDescent="0.2">
      <c r="A221" s="2" t="str">
        <f t="shared" si="29"/>
        <v>C9300-48UB-E-C9300-NM-8X</v>
      </c>
      <c r="B221" s="2" t="s">
        <v>134</v>
      </c>
      <c r="C221" s="2" t="s">
        <v>480</v>
      </c>
      <c r="D221" s="2" t="s">
        <v>129</v>
      </c>
      <c r="E221" s="2" t="s">
        <v>139</v>
      </c>
      <c r="F221" s="2" t="s">
        <v>352</v>
      </c>
      <c r="G221" s="2"/>
      <c r="H221" s="2"/>
      <c r="I221" s="2"/>
      <c r="J221" s="2">
        <v>48</v>
      </c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9" t="str">
        <f t="shared" si="21"/>
        <v/>
      </c>
      <c r="V221" s="4" t="str">
        <f t="shared" si="22"/>
        <v/>
      </c>
      <c r="W221" s="4" t="str">
        <f t="shared" si="23"/>
        <v>8</v>
      </c>
      <c r="X221" s="4" t="str">
        <f t="shared" si="24"/>
        <v/>
      </c>
      <c r="Y221" s="4" t="str">
        <f t="shared" si="25"/>
        <v/>
      </c>
      <c r="Z221" s="2"/>
      <c r="AA221" s="2">
        <v>822</v>
      </c>
      <c r="AB221" s="2">
        <v>256</v>
      </c>
      <c r="AC221" s="4" t="s">
        <v>389</v>
      </c>
      <c r="AD221" s="4">
        <v>64000</v>
      </c>
      <c r="AE221" s="2">
        <v>4094</v>
      </c>
      <c r="AF221" s="4" t="s">
        <v>456</v>
      </c>
    </row>
    <row r="222" spans="1:32" x14ac:dyDescent="0.2">
      <c r="A222" s="2" t="str">
        <f t="shared" si="29"/>
        <v>C9300-48UB-E-C9300-NM-2Q</v>
      </c>
      <c r="B222" s="2" t="s">
        <v>134</v>
      </c>
      <c r="C222" s="2" t="s">
        <v>480</v>
      </c>
      <c r="D222" s="2" t="s">
        <v>129</v>
      </c>
      <c r="E222" s="2" t="s">
        <v>140</v>
      </c>
      <c r="F222" s="2" t="s">
        <v>352</v>
      </c>
      <c r="G222" s="2"/>
      <c r="H222" s="2"/>
      <c r="I222" s="2"/>
      <c r="J222" s="2">
        <v>48</v>
      </c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9" t="str">
        <f t="shared" si="21"/>
        <v/>
      </c>
      <c r="V222" s="4" t="str">
        <f t="shared" si="22"/>
        <v/>
      </c>
      <c r="W222" s="4" t="str">
        <f t="shared" si="23"/>
        <v/>
      </c>
      <c r="X222" s="4" t="str">
        <f t="shared" si="24"/>
        <v/>
      </c>
      <c r="Y222" s="4" t="str">
        <f t="shared" si="25"/>
        <v>2</v>
      </c>
      <c r="Z222" s="2"/>
      <c r="AA222" s="2">
        <v>822</v>
      </c>
      <c r="AB222" s="2">
        <v>256</v>
      </c>
      <c r="AC222" s="4" t="s">
        <v>389</v>
      </c>
      <c r="AD222" s="4">
        <v>64000</v>
      </c>
      <c r="AE222" s="2">
        <v>4094</v>
      </c>
      <c r="AF222" s="4" t="s">
        <v>456</v>
      </c>
    </row>
    <row r="223" spans="1:32" x14ac:dyDescent="0.2">
      <c r="A223" s="2" t="str">
        <f t="shared" si="29"/>
        <v>C9300-48UB-E-C9300-NM-2Y</v>
      </c>
      <c r="B223" s="2" t="s">
        <v>134</v>
      </c>
      <c r="C223" s="2" t="s">
        <v>480</v>
      </c>
      <c r="D223" s="2" t="s">
        <v>129</v>
      </c>
      <c r="E223" s="2" t="s">
        <v>141</v>
      </c>
      <c r="F223" s="2" t="s">
        <v>352</v>
      </c>
      <c r="G223" s="2"/>
      <c r="H223" s="2"/>
      <c r="I223" s="2"/>
      <c r="J223" s="2">
        <v>48</v>
      </c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9" t="str">
        <f t="shared" si="21"/>
        <v/>
      </c>
      <c r="V223" s="4" t="str">
        <f t="shared" si="22"/>
        <v/>
      </c>
      <c r="W223" s="4" t="str">
        <f t="shared" si="23"/>
        <v/>
      </c>
      <c r="X223" s="4" t="str">
        <f t="shared" si="24"/>
        <v>2</v>
      </c>
      <c r="Y223" s="4" t="str">
        <f t="shared" si="25"/>
        <v/>
      </c>
      <c r="Z223" s="2"/>
      <c r="AA223" s="2">
        <v>822</v>
      </c>
      <c r="AB223" s="2">
        <v>256</v>
      </c>
      <c r="AC223" s="4" t="s">
        <v>389</v>
      </c>
      <c r="AD223" s="4">
        <v>64000</v>
      </c>
      <c r="AE223" s="2">
        <v>4094</v>
      </c>
      <c r="AF223" s="4" t="s">
        <v>456</v>
      </c>
    </row>
    <row r="224" spans="1:32" x14ac:dyDescent="0.2">
      <c r="A224" s="2" t="str">
        <f t="shared" si="29"/>
        <v>C9300-24H-E-C9300-NM-4G</v>
      </c>
      <c r="B224" s="2" t="s">
        <v>134</v>
      </c>
      <c r="C224" s="2" t="s">
        <v>483</v>
      </c>
      <c r="D224" s="2" t="s">
        <v>129</v>
      </c>
      <c r="E224" s="2" t="s">
        <v>137</v>
      </c>
      <c r="F224" s="2" t="s">
        <v>352</v>
      </c>
      <c r="G224" s="2"/>
      <c r="H224" s="2"/>
      <c r="I224" s="2"/>
      <c r="J224" s="2"/>
      <c r="K224" s="2">
        <v>24</v>
      </c>
      <c r="L224" s="2"/>
      <c r="M224" s="2"/>
      <c r="N224" s="2"/>
      <c r="O224" s="2"/>
      <c r="P224" s="2"/>
      <c r="Q224" s="2"/>
      <c r="R224" s="2"/>
      <c r="S224" s="2"/>
      <c r="T224" s="2"/>
      <c r="U224" s="29" t="str">
        <f t="shared" si="21"/>
        <v>4</v>
      </c>
      <c r="V224" s="4" t="str">
        <f t="shared" si="22"/>
        <v/>
      </c>
      <c r="W224" s="4" t="str">
        <f t="shared" si="23"/>
        <v/>
      </c>
      <c r="X224" s="4" t="str">
        <f t="shared" si="24"/>
        <v/>
      </c>
      <c r="Y224" s="4" t="str">
        <f t="shared" si="25"/>
        <v/>
      </c>
      <c r="Z224" s="2"/>
      <c r="AA224" s="2">
        <v>830</v>
      </c>
      <c r="AB224" s="4">
        <v>208</v>
      </c>
      <c r="AC224" s="4" t="s">
        <v>389</v>
      </c>
      <c r="AD224" s="4">
        <v>32000</v>
      </c>
      <c r="AE224" s="2">
        <v>4094</v>
      </c>
      <c r="AF224" s="4" t="s">
        <v>456</v>
      </c>
    </row>
    <row r="225" spans="1:32" x14ac:dyDescent="0.2">
      <c r="A225" s="2" t="str">
        <f t="shared" si="29"/>
        <v>C9300-24H-E-C9300-NM-4M</v>
      </c>
      <c r="B225" s="2" t="s">
        <v>134</v>
      </c>
      <c r="C225" s="2" t="s">
        <v>483</v>
      </c>
      <c r="D225" s="2" t="s">
        <v>129</v>
      </c>
      <c r="E225" s="2" t="s">
        <v>138</v>
      </c>
      <c r="F225" s="2" t="s">
        <v>352</v>
      </c>
      <c r="G225" s="2"/>
      <c r="H225" s="2"/>
      <c r="I225" s="2"/>
      <c r="J225" s="2"/>
      <c r="K225" s="2">
        <v>24</v>
      </c>
      <c r="L225" s="2"/>
      <c r="M225" s="2"/>
      <c r="N225" s="2"/>
      <c r="O225" s="2"/>
      <c r="P225" s="2"/>
      <c r="Q225" s="2"/>
      <c r="R225" s="2"/>
      <c r="S225" s="2"/>
      <c r="T225" s="2"/>
      <c r="U225" s="29" t="str">
        <f t="shared" si="21"/>
        <v/>
      </c>
      <c r="V225" s="4" t="str">
        <f t="shared" si="22"/>
        <v>4</v>
      </c>
      <c r="W225" s="4" t="str">
        <f t="shared" si="23"/>
        <v/>
      </c>
      <c r="X225" s="4" t="str">
        <f t="shared" si="24"/>
        <v/>
      </c>
      <c r="Y225" s="4" t="str">
        <f t="shared" si="25"/>
        <v/>
      </c>
      <c r="Z225" s="2"/>
      <c r="AA225" s="2">
        <v>830</v>
      </c>
      <c r="AB225" s="2">
        <v>208</v>
      </c>
      <c r="AC225" s="4" t="s">
        <v>389</v>
      </c>
      <c r="AD225" s="4">
        <v>32000</v>
      </c>
      <c r="AE225" s="2">
        <v>4094</v>
      </c>
      <c r="AF225" s="4" t="s">
        <v>456</v>
      </c>
    </row>
    <row r="226" spans="1:32" x14ac:dyDescent="0.2">
      <c r="A226" s="2" t="str">
        <f t="shared" si="29"/>
        <v>C9300-24H-E-C9300-NM-8X</v>
      </c>
      <c r="B226" s="2" t="s">
        <v>134</v>
      </c>
      <c r="C226" s="2" t="s">
        <v>483</v>
      </c>
      <c r="D226" s="2" t="s">
        <v>129</v>
      </c>
      <c r="E226" s="2" t="s">
        <v>139</v>
      </c>
      <c r="F226" s="2" t="s">
        <v>352</v>
      </c>
      <c r="G226" s="2"/>
      <c r="H226" s="2"/>
      <c r="I226" s="2"/>
      <c r="J226" s="2"/>
      <c r="K226" s="2">
        <v>24</v>
      </c>
      <c r="L226" s="2"/>
      <c r="M226" s="2"/>
      <c r="N226" s="2"/>
      <c r="O226" s="2"/>
      <c r="P226" s="2"/>
      <c r="Q226" s="2"/>
      <c r="R226" s="2"/>
      <c r="S226" s="2"/>
      <c r="T226" s="2"/>
      <c r="U226" s="29" t="str">
        <f t="shared" si="21"/>
        <v/>
      </c>
      <c r="V226" s="4" t="str">
        <f t="shared" si="22"/>
        <v/>
      </c>
      <c r="W226" s="4" t="str">
        <f t="shared" si="23"/>
        <v>8</v>
      </c>
      <c r="X226" s="4" t="str">
        <f t="shared" si="24"/>
        <v/>
      </c>
      <c r="Y226" s="4" t="str">
        <f t="shared" si="25"/>
        <v/>
      </c>
      <c r="Z226" s="2"/>
      <c r="AA226" s="2">
        <v>830</v>
      </c>
      <c r="AB226" s="2">
        <v>208</v>
      </c>
      <c r="AC226" s="4" t="s">
        <v>389</v>
      </c>
      <c r="AD226" s="4">
        <v>32000</v>
      </c>
      <c r="AE226" s="2">
        <v>4094</v>
      </c>
      <c r="AF226" s="4" t="s">
        <v>456</v>
      </c>
    </row>
    <row r="227" spans="1:32" x14ac:dyDescent="0.2">
      <c r="A227" s="2" t="str">
        <f t="shared" si="29"/>
        <v>C9300-24H-E-C9300-NM-2Q</v>
      </c>
      <c r="B227" s="2" t="s">
        <v>134</v>
      </c>
      <c r="C227" s="2" t="s">
        <v>483</v>
      </c>
      <c r="D227" s="2" t="s">
        <v>129</v>
      </c>
      <c r="E227" s="2" t="s">
        <v>140</v>
      </c>
      <c r="F227" s="2" t="s">
        <v>352</v>
      </c>
      <c r="G227" s="2"/>
      <c r="H227" s="2"/>
      <c r="I227" s="2"/>
      <c r="J227" s="2"/>
      <c r="K227" s="2">
        <v>24</v>
      </c>
      <c r="L227" s="2"/>
      <c r="M227" s="2"/>
      <c r="N227" s="2"/>
      <c r="O227" s="2"/>
      <c r="P227" s="2"/>
      <c r="Q227" s="2"/>
      <c r="R227" s="2"/>
      <c r="S227" s="2"/>
      <c r="T227" s="2"/>
      <c r="U227" s="29" t="str">
        <f t="shared" si="21"/>
        <v/>
      </c>
      <c r="V227" s="4" t="str">
        <f t="shared" si="22"/>
        <v/>
      </c>
      <c r="W227" s="4" t="str">
        <f t="shared" si="23"/>
        <v/>
      </c>
      <c r="X227" s="4" t="str">
        <f t="shared" si="24"/>
        <v/>
      </c>
      <c r="Y227" s="4" t="str">
        <f t="shared" si="25"/>
        <v>2</v>
      </c>
      <c r="Z227" s="2"/>
      <c r="AA227" s="2">
        <v>830</v>
      </c>
      <c r="AB227" s="2">
        <v>208</v>
      </c>
      <c r="AC227" s="4" t="s">
        <v>389</v>
      </c>
      <c r="AD227" s="4">
        <v>32000</v>
      </c>
      <c r="AE227" s="2">
        <v>4094</v>
      </c>
      <c r="AF227" s="4" t="s">
        <v>456</v>
      </c>
    </row>
    <row r="228" spans="1:32" x14ac:dyDescent="0.2">
      <c r="A228" s="2" t="str">
        <f t="shared" si="29"/>
        <v>C9300-24H-E-C9300-NM-2Y</v>
      </c>
      <c r="B228" s="2" t="s">
        <v>134</v>
      </c>
      <c r="C228" s="2" t="s">
        <v>483</v>
      </c>
      <c r="D228" s="2" t="s">
        <v>129</v>
      </c>
      <c r="E228" s="2" t="s">
        <v>141</v>
      </c>
      <c r="F228" s="2" t="s">
        <v>352</v>
      </c>
      <c r="G228" s="2"/>
      <c r="H228" s="2"/>
      <c r="I228" s="2"/>
      <c r="J228" s="2"/>
      <c r="K228" s="2">
        <v>24</v>
      </c>
      <c r="L228" s="2"/>
      <c r="M228" s="2"/>
      <c r="N228" s="2"/>
      <c r="O228" s="2"/>
      <c r="P228" s="2"/>
      <c r="Q228" s="2"/>
      <c r="R228" s="2"/>
      <c r="S228" s="2"/>
      <c r="T228" s="2"/>
      <c r="U228" s="29" t="str">
        <f t="shared" si="21"/>
        <v/>
      </c>
      <c r="V228" s="4" t="str">
        <f t="shared" si="22"/>
        <v/>
      </c>
      <c r="W228" s="4" t="str">
        <f t="shared" si="23"/>
        <v/>
      </c>
      <c r="X228" s="4" t="str">
        <f t="shared" si="24"/>
        <v>2</v>
      </c>
      <c r="Y228" s="4" t="str">
        <f t="shared" si="25"/>
        <v/>
      </c>
      <c r="Z228" s="2"/>
      <c r="AA228" s="2">
        <v>830</v>
      </c>
      <c r="AB228" s="2">
        <v>208</v>
      </c>
      <c r="AC228" s="4" t="s">
        <v>389</v>
      </c>
      <c r="AD228" s="4">
        <v>32000</v>
      </c>
      <c r="AE228" s="2">
        <v>4094</v>
      </c>
      <c r="AF228" s="4" t="s">
        <v>456</v>
      </c>
    </row>
    <row r="229" spans="1:32" x14ac:dyDescent="0.2">
      <c r="A229" s="2" t="str">
        <f t="shared" si="29"/>
        <v>C9300-48H-E-C9300-NM-4G</v>
      </c>
      <c r="B229" s="2" t="s">
        <v>134</v>
      </c>
      <c r="C229" s="2" t="s">
        <v>484</v>
      </c>
      <c r="D229" s="2" t="s">
        <v>129</v>
      </c>
      <c r="E229" s="2" t="s">
        <v>137</v>
      </c>
      <c r="F229" s="2" t="s">
        <v>352</v>
      </c>
      <c r="G229" s="2"/>
      <c r="H229" s="2"/>
      <c r="I229" s="2"/>
      <c r="J229" s="2"/>
      <c r="K229" s="2">
        <v>48</v>
      </c>
      <c r="L229" s="2"/>
      <c r="M229" s="2"/>
      <c r="N229" s="2"/>
      <c r="O229" s="2"/>
      <c r="P229" s="2"/>
      <c r="Q229" s="2"/>
      <c r="R229" s="2"/>
      <c r="S229" s="2"/>
      <c r="T229" s="2"/>
      <c r="U229" s="29" t="str">
        <f t="shared" ref="U229:U243" si="30">IF(E229="C9300-NM-4G","4","")</f>
        <v>4</v>
      </c>
      <c r="V229" s="4" t="str">
        <f t="shared" ref="V229:V243" si="31">IF(E229="C9300-NM-4M","4","")</f>
        <v/>
      </c>
      <c r="W229" s="4" t="str">
        <f t="shared" ref="W229:W243" si="32">IF(E229="C9300-NM-8X","8","")</f>
        <v/>
      </c>
      <c r="X229" s="4" t="str">
        <f t="shared" ref="X229:X243" si="33">IF(E229="C9300-NM-2Y","2","")</f>
        <v/>
      </c>
      <c r="Y229" s="4" t="str">
        <f t="shared" ref="Y229:Y243" si="34">IF(E229="C9300-NM-2Q","2","")</f>
        <v/>
      </c>
      <c r="Z229" s="2"/>
      <c r="AA229" s="2">
        <v>822</v>
      </c>
      <c r="AB229" s="2">
        <v>256</v>
      </c>
      <c r="AC229" s="4" t="s">
        <v>389</v>
      </c>
      <c r="AD229" s="4">
        <v>32000</v>
      </c>
      <c r="AE229" s="2">
        <v>4094</v>
      </c>
      <c r="AF229" s="4" t="s">
        <v>456</v>
      </c>
    </row>
    <row r="230" spans="1:32" x14ac:dyDescent="0.2">
      <c r="A230" s="2" t="str">
        <f t="shared" si="29"/>
        <v>C9300-48H-E-C9300-NM-4M</v>
      </c>
      <c r="B230" s="2" t="s">
        <v>134</v>
      </c>
      <c r="C230" s="2" t="s">
        <v>484</v>
      </c>
      <c r="D230" s="2" t="s">
        <v>129</v>
      </c>
      <c r="E230" s="2" t="s">
        <v>138</v>
      </c>
      <c r="F230" s="2" t="s">
        <v>352</v>
      </c>
      <c r="G230" s="2"/>
      <c r="H230" s="2"/>
      <c r="I230" s="2"/>
      <c r="J230" s="2"/>
      <c r="K230" s="2">
        <v>48</v>
      </c>
      <c r="L230" s="2"/>
      <c r="M230" s="2"/>
      <c r="N230" s="2"/>
      <c r="O230" s="2"/>
      <c r="P230" s="2"/>
      <c r="Q230" s="2"/>
      <c r="R230" s="2"/>
      <c r="S230" s="2"/>
      <c r="T230" s="2"/>
      <c r="U230" s="29" t="str">
        <f t="shared" si="30"/>
        <v/>
      </c>
      <c r="V230" s="4" t="str">
        <f t="shared" si="31"/>
        <v>4</v>
      </c>
      <c r="W230" s="4" t="str">
        <f t="shared" si="32"/>
        <v/>
      </c>
      <c r="X230" s="4" t="str">
        <f t="shared" si="33"/>
        <v/>
      </c>
      <c r="Y230" s="4" t="str">
        <f t="shared" si="34"/>
        <v/>
      </c>
      <c r="Z230" s="2"/>
      <c r="AA230" s="2">
        <v>822</v>
      </c>
      <c r="AB230" s="2">
        <v>256</v>
      </c>
      <c r="AC230" s="4" t="s">
        <v>389</v>
      </c>
      <c r="AD230" s="4">
        <v>32000</v>
      </c>
      <c r="AE230" s="2">
        <v>4094</v>
      </c>
      <c r="AF230" s="4" t="s">
        <v>456</v>
      </c>
    </row>
    <row r="231" spans="1:32" x14ac:dyDescent="0.2">
      <c r="A231" s="2" t="str">
        <f t="shared" si="29"/>
        <v>C9300-48H-E-C9300-NM-8X</v>
      </c>
      <c r="B231" s="2" t="s">
        <v>134</v>
      </c>
      <c r="C231" s="2" t="s">
        <v>484</v>
      </c>
      <c r="D231" s="2" t="s">
        <v>129</v>
      </c>
      <c r="E231" s="2" t="s">
        <v>139</v>
      </c>
      <c r="F231" s="2" t="s">
        <v>352</v>
      </c>
      <c r="G231" s="2"/>
      <c r="H231" s="2"/>
      <c r="I231" s="2"/>
      <c r="J231" s="2"/>
      <c r="K231" s="2">
        <v>48</v>
      </c>
      <c r="L231" s="2"/>
      <c r="M231" s="2"/>
      <c r="N231" s="2"/>
      <c r="O231" s="2"/>
      <c r="P231" s="2"/>
      <c r="Q231" s="2"/>
      <c r="R231" s="2"/>
      <c r="S231" s="2"/>
      <c r="T231" s="2"/>
      <c r="U231" s="29" t="str">
        <f t="shared" si="30"/>
        <v/>
      </c>
      <c r="V231" s="4" t="str">
        <f t="shared" si="31"/>
        <v/>
      </c>
      <c r="W231" s="4" t="str">
        <f t="shared" si="32"/>
        <v>8</v>
      </c>
      <c r="X231" s="4" t="str">
        <f t="shared" si="33"/>
        <v/>
      </c>
      <c r="Y231" s="4" t="str">
        <f t="shared" si="34"/>
        <v/>
      </c>
      <c r="Z231" s="2"/>
      <c r="AA231" s="2">
        <v>822</v>
      </c>
      <c r="AB231" s="2">
        <v>256</v>
      </c>
      <c r="AC231" s="4" t="s">
        <v>389</v>
      </c>
      <c r="AD231" s="4">
        <v>32000</v>
      </c>
      <c r="AE231" s="2">
        <v>4094</v>
      </c>
      <c r="AF231" s="4" t="s">
        <v>456</v>
      </c>
    </row>
    <row r="232" spans="1:32" x14ac:dyDescent="0.2">
      <c r="A232" s="2" t="str">
        <f t="shared" si="29"/>
        <v>C9300-48H-E-C9300-NM-2Q</v>
      </c>
      <c r="B232" s="2" t="s">
        <v>134</v>
      </c>
      <c r="C232" s="2" t="s">
        <v>484</v>
      </c>
      <c r="D232" s="2" t="s">
        <v>129</v>
      </c>
      <c r="E232" s="2" t="s">
        <v>140</v>
      </c>
      <c r="F232" s="2" t="s">
        <v>352</v>
      </c>
      <c r="G232" s="2"/>
      <c r="H232" s="2"/>
      <c r="I232" s="2"/>
      <c r="J232" s="2"/>
      <c r="K232" s="2">
        <v>48</v>
      </c>
      <c r="L232" s="2"/>
      <c r="M232" s="2"/>
      <c r="N232" s="2"/>
      <c r="O232" s="2"/>
      <c r="P232" s="2"/>
      <c r="Q232" s="2"/>
      <c r="R232" s="2"/>
      <c r="S232" s="2"/>
      <c r="T232" s="2"/>
      <c r="U232" s="29" t="str">
        <f t="shared" si="30"/>
        <v/>
      </c>
      <c r="V232" s="4" t="str">
        <f t="shared" si="31"/>
        <v/>
      </c>
      <c r="W232" s="4" t="str">
        <f t="shared" si="32"/>
        <v/>
      </c>
      <c r="X232" s="4" t="str">
        <f t="shared" si="33"/>
        <v/>
      </c>
      <c r="Y232" s="4" t="str">
        <f t="shared" si="34"/>
        <v>2</v>
      </c>
      <c r="Z232" s="2"/>
      <c r="AA232" s="2">
        <v>822</v>
      </c>
      <c r="AB232" s="2">
        <v>256</v>
      </c>
      <c r="AC232" s="4" t="s">
        <v>389</v>
      </c>
      <c r="AD232" s="4">
        <v>32000</v>
      </c>
      <c r="AE232" s="2">
        <v>4094</v>
      </c>
      <c r="AF232" s="4" t="s">
        <v>456</v>
      </c>
    </row>
    <row r="233" spans="1:32" x14ac:dyDescent="0.2">
      <c r="A233" s="2" t="str">
        <f t="shared" si="29"/>
        <v>C9300-48H-E-C9300-NM-2Y</v>
      </c>
      <c r="B233" s="2" t="s">
        <v>134</v>
      </c>
      <c r="C233" s="2" t="s">
        <v>484</v>
      </c>
      <c r="D233" s="2" t="s">
        <v>129</v>
      </c>
      <c r="E233" s="2" t="s">
        <v>141</v>
      </c>
      <c r="F233" s="2" t="s">
        <v>352</v>
      </c>
      <c r="G233" s="2"/>
      <c r="H233" s="2"/>
      <c r="I233" s="2"/>
      <c r="J233" s="2"/>
      <c r="K233" s="2">
        <v>48</v>
      </c>
      <c r="L233" s="2"/>
      <c r="M233" s="2"/>
      <c r="N233" s="2"/>
      <c r="O233" s="2"/>
      <c r="P233" s="2"/>
      <c r="Q233" s="2"/>
      <c r="R233" s="2"/>
      <c r="S233" s="2"/>
      <c r="T233" s="2"/>
      <c r="U233" s="29" t="str">
        <f t="shared" si="30"/>
        <v/>
      </c>
      <c r="V233" s="4" t="str">
        <f t="shared" si="31"/>
        <v/>
      </c>
      <c r="W233" s="4" t="str">
        <f t="shared" si="32"/>
        <v/>
      </c>
      <c r="X233" s="4" t="str">
        <f t="shared" si="33"/>
        <v>2</v>
      </c>
      <c r="Y233" s="4" t="str">
        <f t="shared" si="34"/>
        <v/>
      </c>
      <c r="Z233" s="2"/>
      <c r="AA233" s="2">
        <v>822</v>
      </c>
      <c r="AB233" s="2">
        <v>256</v>
      </c>
      <c r="AC233" s="4" t="s">
        <v>389</v>
      </c>
      <c r="AD233" s="4">
        <v>32000</v>
      </c>
      <c r="AE233" s="2">
        <v>4094</v>
      </c>
      <c r="AF233" s="4" t="s">
        <v>456</v>
      </c>
    </row>
    <row r="234" spans="1:32" x14ac:dyDescent="0.2">
      <c r="A234" s="2" t="str">
        <f t="shared" ref="A234:A252" si="35">IF(D234="Fixed",C234,C234&amp;"-"&amp;E234)</f>
        <v>C9300-24S-E-C9300-NM-4G</v>
      </c>
      <c r="B234" s="2" t="s">
        <v>134</v>
      </c>
      <c r="C234" s="2" t="s">
        <v>485</v>
      </c>
      <c r="D234" s="2" t="s">
        <v>129</v>
      </c>
      <c r="E234" s="2" t="s">
        <v>137</v>
      </c>
      <c r="F234" s="2" t="s">
        <v>352</v>
      </c>
      <c r="G234" s="2"/>
      <c r="H234" s="2"/>
      <c r="I234" s="2"/>
      <c r="J234" s="2"/>
      <c r="K234" s="2"/>
      <c r="L234" s="2">
        <v>24</v>
      </c>
      <c r="M234" s="2"/>
      <c r="N234" s="2"/>
      <c r="O234" s="2"/>
      <c r="P234" s="2"/>
      <c r="Q234" s="2"/>
      <c r="R234" s="2"/>
      <c r="S234" s="2"/>
      <c r="T234" s="2"/>
      <c r="U234" s="29" t="str">
        <f t="shared" si="30"/>
        <v>4</v>
      </c>
      <c r="V234" s="4" t="str">
        <f t="shared" si="31"/>
        <v/>
      </c>
      <c r="W234" s="4" t="str">
        <f t="shared" si="32"/>
        <v/>
      </c>
      <c r="X234" s="4" t="str">
        <f t="shared" si="33"/>
        <v/>
      </c>
      <c r="Y234" s="4" t="str">
        <f t="shared" si="34"/>
        <v/>
      </c>
      <c r="Z234" s="2"/>
      <c r="AA234" s="2"/>
      <c r="AB234" s="4">
        <v>208</v>
      </c>
      <c r="AC234" s="4" t="s">
        <v>389</v>
      </c>
      <c r="AD234" s="4">
        <v>32000</v>
      </c>
      <c r="AE234" s="2">
        <v>4094</v>
      </c>
      <c r="AF234" s="2"/>
    </row>
    <row r="235" spans="1:32" x14ac:dyDescent="0.2">
      <c r="A235" s="2" t="str">
        <f t="shared" si="35"/>
        <v>C9300-24S-E-C9300-NM-4M</v>
      </c>
      <c r="B235" s="2" t="s">
        <v>134</v>
      </c>
      <c r="C235" s="2" t="s">
        <v>485</v>
      </c>
      <c r="D235" s="2" t="s">
        <v>129</v>
      </c>
      <c r="E235" s="2" t="s">
        <v>138</v>
      </c>
      <c r="F235" s="2" t="s">
        <v>352</v>
      </c>
      <c r="G235" s="2"/>
      <c r="H235" s="2"/>
      <c r="I235" s="2"/>
      <c r="J235" s="2"/>
      <c r="K235" s="2"/>
      <c r="L235" s="2">
        <v>24</v>
      </c>
      <c r="M235" s="2"/>
      <c r="N235" s="2"/>
      <c r="O235" s="2"/>
      <c r="P235" s="2"/>
      <c r="Q235" s="2"/>
      <c r="R235" s="2"/>
      <c r="S235" s="2"/>
      <c r="T235" s="2"/>
      <c r="U235" s="29" t="str">
        <f t="shared" si="30"/>
        <v/>
      </c>
      <c r="V235" s="4" t="str">
        <f t="shared" si="31"/>
        <v>4</v>
      </c>
      <c r="W235" s="4" t="str">
        <f t="shared" si="32"/>
        <v/>
      </c>
      <c r="X235" s="4" t="str">
        <f t="shared" si="33"/>
        <v/>
      </c>
      <c r="Y235" s="4" t="str">
        <f t="shared" si="34"/>
        <v/>
      </c>
      <c r="Z235" s="2"/>
      <c r="AA235" s="2"/>
      <c r="AB235" s="2">
        <v>208</v>
      </c>
      <c r="AC235" s="4" t="s">
        <v>389</v>
      </c>
      <c r="AD235" s="4">
        <v>32000</v>
      </c>
      <c r="AE235" s="2">
        <v>4094</v>
      </c>
      <c r="AF235" s="2"/>
    </row>
    <row r="236" spans="1:32" x14ac:dyDescent="0.2">
      <c r="A236" s="2" t="str">
        <f t="shared" si="35"/>
        <v>C9300-24S-E-C9300-NM-8X</v>
      </c>
      <c r="B236" s="2" t="s">
        <v>134</v>
      </c>
      <c r="C236" s="2" t="s">
        <v>485</v>
      </c>
      <c r="D236" s="2" t="s">
        <v>129</v>
      </c>
      <c r="E236" s="2" t="s">
        <v>139</v>
      </c>
      <c r="F236" s="2" t="s">
        <v>352</v>
      </c>
      <c r="G236" s="2"/>
      <c r="H236" s="2"/>
      <c r="I236" s="2"/>
      <c r="J236" s="2"/>
      <c r="K236" s="2"/>
      <c r="L236" s="2">
        <v>24</v>
      </c>
      <c r="M236" s="2"/>
      <c r="N236" s="2"/>
      <c r="O236" s="2"/>
      <c r="P236" s="2"/>
      <c r="Q236" s="2"/>
      <c r="R236" s="2"/>
      <c r="S236" s="2"/>
      <c r="T236" s="2"/>
      <c r="U236" s="29" t="str">
        <f t="shared" si="30"/>
        <v/>
      </c>
      <c r="V236" s="4" t="str">
        <f t="shared" si="31"/>
        <v/>
      </c>
      <c r="W236" s="4" t="str">
        <f t="shared" si="32"/>
        <v>8</v>
      </c>
      <c r="X236" s="4" t="str">
        <f t="shared" si="33"/>
        <v/>
      </c>
      <c r="Y236" s="4" t="str">
        <f t="shared" si="34"/>
        <v/>
      </c>
      <c r="Z236" s="2"/>
      <c r="AA236" s="2"/>
      <c r="AB236" s="2">
        <v>208</v>
      </c>
      <c r="AC236" s="4" t="s">
        <v>389</v>
      </c>
      <c r="AD236" s="4">
        <v>32000</v>
      </c>
      <c r="AE236" s="2">
        <v>4094</v>
      </c>
      <c r="AF236" s="2"/>
    </row>
    <row r="237" spans="1:32" x14ac:dyDescent="0.2">
      <c r="A237" s="2" t="str">
        <f t="shared" si="35"/>
        <v>C9300-24S-E-C9300-NM-2Q</v>
      </c>
      <c r="B237" s="2" t="s">
        <v>134</v>
      </c>
      <c r="C237" s="2" t="s">
        <v>485</v>
      </c>
      <c r="D237" s="2" t="s">
        <v>129</v>
      </c>
      <c r="E237" s="2" t="s">
        <v>140</v>
      </c>
      <c r="F237" s="2" t="s">
        <v>352</v>
      </c>
      <c r="G237" s="2"/>
      <c r="H237" s="2"/>
      <c r="I237" s="2"/>
      <c r="J237" s="2"/>
      <c r="K237" s="2"/>
      <c r="L237" s="2">
        <v>24</v>
      </c>
      <c r="M237" s="2"/>
      <c r="N237" s="2"/>
      <c r="O237" s="2"/>
      <c r="P237" s="2"/>
      <c r="Q237" s="2"/>
      <c r="R237" s="2"/>
      <c r="S237" s="2"/>
      <c r="T237" s="2"/>
      <c r="U237" s="29" t="str">
        <f t="shared" si="30"/>
        <v/>
      </c>
      <c r="V237" s="4" t="str">
        <f t="shared" si="31"/>
        <v/>
      </c>
      <c r="W237" s="4" t="str">
        <f t="shared" si="32"/>
        <v/>
      </c>
      <c r="X237" s="4" t="str">
        <f t="shared" si="33"/>
        <v/>
      </c>
      <c r="Y237" s="4" t="str">
        <f t="shared" si="34"/>
        <v>2</v>
      </c>
      <c r="Z237" s="2"/>
      <c r="AA237" s="2"/>
      <c r="AB237" s="2">
        <v>208</v>
      </c>
      <c r="AC237" s="4" t="s">
        <v>389</v>
      </c>
      <c r="AD237" s="4">
        <v>32000</v>
      </c>
      <c r="AE237" s="2">
        <v>4094</v>
      </c>
      <c r="AF237" s="2"/>
    </row>
    <row r="238" spans="1:32" x14ac:dyDescent="0.2">
      <c r="A238" s="2" t="str">
        <f t="shared" si="35"/>
        <v>C9300-24S-E-C9300-NM-2Y</v>
      </c>
      <c r="B238" s="2" t="s">
        <v>134</v>
      </c>
      <c r="C238" s="2" t="s">
        <v>485</v>
      </c>
      <c r="D238" s="2" t="s">
        <v>129</v>
      </c>
      <c r="E238" s="2" t="s">
        <v>141</v>
      </c>
      <c r="F238" s="2" t="s">
        <v>352</v>
      </c>
      <c r="G238" s="2"/>
      <c r="H238" s="2"/>
      <c r="I238" s="2"/>
      <c r="J238" s="2"/>
      <c r="K238" s="2"/>
      <c r="L238" s="2">
        <v>24</v>
      </c>
      <c r="M238" s="2"/>
      <c r="N238" s="2"/>
      <c r="O238" s="2"/>
      <c r="P238" s="2"/>
      <c r="Q238" s="2"/>
      <c r="R238" s="2"/>
      <c r="S238" s="2"/>
      <c r="T238" s="2"/>
      <c r="U238" s="29" t="str">
        <f t="shared" si="30"/>
        <v/>
      </c>
      <c r="V238" s="4" t="str">
        <f t="shared" si="31"/>
        <v/>
      </c>
      <c r="W238" s="4" t="str">
        <f t="shared" si="32"/>
        <v/>
      </c>
      <c r="X238" s="4" t="str">
        <f t="shared" si="33"/>
        <v>2</v>
      </c>
      <c r="Y238" s="4" t="str">
        <f t="shared" si="34"/>
        <v/>
      </c>
      <c r="Z238" s="2"/>
      <c r="AA238" s="2"/>
      <c r="AB238" s="2">
        <v>208</v>
      </c>
      <c r="AC238" s="4" t="s">
        <v>389</v>
      </c>
      <c r="AD238" s="4">
        <v>32000</v>
      </c>
      <c r="AE238" s="2">
        <v>4094</v>
      </c>
      <c r="AF238" s="2"/>
    </row>
    <row r="239" spans="1:32" x14ac:dyDescent="0.2">
      <c r="A239" s="2" t="str">
        <f t="shared" si="35"/>
        <v>C9300-48S-E-C9300-NM-4G</v>
      </c>
      <c r="B239" s="2" t="s">
        <v>134</v>
      </c>
      <c r="C239" s="2" t="s">
        <v>486</v>
      </c>
      <c r="D239" s="2" t="s">
        <v>129</v>
      </c>
      <c r="E239" s="2" t="s">
        <v>137</v>
      </c>
      <c r="F239" s="2" t="s">
        <v>352</v>
      </c>
      <c r="G239" s="2"/>
      <c r="H239" s="2"/>
      <c r="I239" s="2"/>
      <c r="J239" s="2"/>
      <c r="K239" s="2"/>
      <c r="L239" s="2">
        <v>48</v>
      </c>
      <c r="M239" s="2"/>
      <c r="N239" s="2"/>
      <c r="O239" s="2"/>
      <c r="P239" s="2"/>
      <c r="Q239" s="2"/>
      <c r="R239" s="2"/>
      <c r="S239" s="2"/>
      <c r="T239" s="2"/>
      <c r="U239" s="29" t="str">
        <f t="shared" si="30"/>
        <v>4</v>
      </c>
      <c r="V239" s="4" t="str">
        <f t="shared" si="31"/>
        <v/>
      </c>
      <c r="W239" s="4" t="str">
        <f t="shared" si="32"/>
        <v/>
      </c>
      <c r="X239" s="4" t="str">
        <f t="shared" si="33"/>
        <v/>
      </c>
      <c r="Y239" s="4" t="str">
        <f t="shared" si="34"/>
        <v/>
      </c>
      <c r="Z239" s="2"/>
      <c r="AA239" s="2"/>
      <c r="AB239" s="2">
        <v>256</v>
      </c>
      <c r="AC239" s="4" t="s">
        <v>389</v>
      </c>
      <c r="AD239" s="4">
        <v>32000</v>
      </c>
      <c r="AE239" s="2">
        <v>4094</v>
      </c>
      <c r="AF239" s="2"/>
    </row>
    <row r="240" spans="1:32" x14ac:dyDescent="0.2">
      <c r="A240" s="2" t="str">
        <f t="shared" si="35"/>
        <v>C9300-48S-E-C9300-NM-4M</v>
      </c>
      <c r="B240" s="2" t="s">
        <v>134</v>
      </c>
      <c r="C240" s="2" t="s">
        <v>486</v>
      </c>
      <c r="D240" s="2" t="s">
        <v>129</v>
      </c>
      <c r="E240" s="2" t="s">
        <v>138</v>
      </c>
      <c r="F240" s="2" t="s">
        <v>352</v>
      </c>
      <c r="G240" s="2"/>
      <c r="H240" s="2"/>
      <c r="I240" s="2"/>
      <c r="J240" s="2"/>
      <c r="K240" s="2"/>
      <c r="L240" s="2">
        <v>48</v>
      </c>
      <c r="M240" s="2"/>
      <c r="N240" s="2"/>
      <c r="O240" s="2"/>
      <c r="P240" s="2"/>
      <c r="Q240" s="2"/>
      <c r="R240" s="2"/>
      <c r="S240" s="2"/>
      <c r="T240" s="2"/>
      <c r="U240" s="29" t="str">
        <f t="shared" si="30"/>
        <v/>
      </c>
      <c r="V240" s="4" t="str">
        <f t="shared" si="31"/>
        <v>4</v>
      </c>
      <c r="W240" s="4" t="str">
        <f t="shared" si="32"/>
        <v/>
      </c>
      <c r="X240" s="4" t="str">
        <f t="shared" si="33"/>
        <v/>
      </c>
      <c r="Y240" s="4" t="str">
        <f t="shared" si="34"/>
        <v/>
      </c>
      <c r="Z240" s="2"/>
      <c r="AA240" s="2"/>
      <c r="AB240" s="2">
        <v>256</v>
      </c>
      <c r="AC240" s="4" t="s">
        <v>389</v>
      </c>
      <c r="AD240" s="4">
        <v>32000</v>
      </c>
      <c r="AE240" s="2">
        <v>4094</v>
      </c>
      <c r="AF240" s="2"/>
    </row>
    <row r="241" spans="1:32" x14ac:dyDescent="0.2">
      <c r="A241" s="2" t="str">
        <f t="shared" si="35"/>
        <v>C9300-48S-E-C9300-NM-8X</v>
      </c>
      <c r="B241" s="2" t="s">
        <v>134</v>
      </c>
      <c r="C241" s="2" t="s">
        <v>486</v>
      </c>
      <c r="D241" s="2" t="s">
        <v>129</v>
      </c>
      <c r="E241" s="2" t="s">
        <v>139</v>
      </c>
      <c r="F241" s="2" t="s">
        <v>352</v>
      </c>
      <c r="G241" s="2"/>
      <c r="H241" s="2"/>
      <c r="I241" s="2"/>
      <c r="J241" s="2"/>
      <c r="K241" s="2"/>
      <c r="L241" s="2">
        <v>48</v>
      </c>
      <c r="M241" s="2"/>
      <c r="N241" s="2"/>
      <c r="O241" s="2"/>
      <c r="P241" s="2"/>
      <c r="Q241" s="2"/>
      <c r="R241" s="2"/>
      <c r="S241" s="2"/>
      <c r="T241" s="2"/>
      <c r="U241" s="29" t="str">
        <f t="shared" si="30"/>
        <v/>
      </c>
      <c r="V241" s="4" t="str">
        <f t="shared" si="31"/>
        <v/>
      </c>
      <c r="W241" s="4" t="str">
        <f t="shared" si="32"/>
        <v>8</v>
      </c>
      <c r="X241" s="4" t="str">
        <f t="shared" si="33"/>
        <v/>
      </c>
      <c r="Y241" s="4" t="str">
        <f t="shared" si="34"/>
        <v/>
      </c>
      <c r="Z241" s="2"/>
      <c r="AA241" s="2"/>
      <c r="AB241" s="2">
        <v>256</v>
      </c>
      <c r="AC241" s="4" t="s">
        <v>389</v>
      </c>
      <c r="AD241" s="4">
        <v>32000</v>
      </c>
      <c r="AE241" s="2">
        <v>4094</v>
      </c>
      <c r="AF241" s="2"/>
    </row>
    <row r="242" spans="1:32" x14ac:dyDescent="0.2">
      <c r="A242" s="2" t="str">
        <f t="shared" si="35"/>
        <v>C9300-48S-E-C9300-NM-2Q</v>
      </c>
      <c r="B242" s="2" t="s">
        <v>134</v>
      </c>
      <c r="C242" s="2" t="s">
        <v>486</v>
      </c>
      <c r="D242" s="2" t="s">
        <v>129</v>
      </c>
      <c r="E242" s="2" t="s">
        <v>140</v>
      </c>
      <c r="F242" s="2" t="s">
        <v>352</v>
      </c>
      <c r="G242" s="2"/>
      <c r="H242" s="2"/>
      <c r="I242" s="2"/>
      <c r="J242" s="2"/>
      <c r="K242" s="2"/>
      <c r="L242" s="2">
        <v>48</v>
      </c>
      <c r="M242" s="2"/>
      <c r="N242" s="2"/>
      <c r="O242" s="2"/>
      <c r="P242" s="2"/>
      <c r="Q242" s="2"/>
      <c r="R242" s="2"/>
      <c r="S242" s="2"/>
      <c r="T242" s="2"/>
      <c r="U242" s="29" t="str">
        <f t="shared" si="30"/>
        <v/>
      </c>
      <c r="V242" s="4" t="str">
        <f t="shared" si="31"/>
        <v/>
      </c>
      <c r="W242" s="4" t="str">
        <f t="shared" si="32"/>
        <v/>
      </c>
      <c r="X242" s="4" t="str">
        <f t="shared" si="33"/>
        <v/>
      </c>
      <c r="Y242" s="4" t="str">
        <f t="shared" si="34"/>
        <v>2</v>
      </c>
      <c r="Z242" s="2"/>
      <c r="AA242" s="2"/>
      <c r="AB242" s="2">
        <v>256</v>
      </c>
      <c r="AC242" s="4" t="s">
        <v>389</v>
      </c>
      <c r="AD242" s="4">
        <v>32000</v>
      </c>
      <c r="AE242" s="2">
        <v>4094</v>
      </c>
      <c r="AF242" s="2"/>
    </row>
    <row r="243" spans="1:32" s="1" customFormat="1" x14ac:dyDescent="0.2">
      <c r="A243" s="4" t="str">
        <f t="shared" si="35"/>
        <v>C9300-48S-E-C9300-NM-2Y</v>
      </c>
      <c r="B243" s="4" t="s">
        <v>134</v>
      </c>
      <c r="C243" s="4" t="s">
        <v>486</v>
      </c>
      <c r="D243" s="4" t="s">
        <v>129</v>
      </c>
      <c r="E243" s="4" t="s">
        <v>141</v>
      </c>
      <c r="F243" s="4" t="s">
        <v>352</v>
      </c>
      <c r="G243" s="4"/>
      <c r="H243" s="4"/>
      <c r="I243" s="4"/>
      <c r="J243" s="4"/>
      <c r="K243" s="4"/>
      <c r="L243" s="4">
        <v>48</v>
      </c>
      <c r="M243" s="4"/>
      <c r="N243" s="4"/>
      <c r="O243" s="4"/>
      <c r="P243" s="4"/>
      <c r="Q243" s="4"/>
      <c r="R243" s="4"/>
      <c r="S243" s="4"/>
      <c r="T243" s="4"/>
      <c r="U243" s="29" t="str">
        <f t="shared" si="30"/>
        <v/>
      </c>
      <c r="V243" s="4" t="str">
        <f t="shared" si="31"/>
        <v/>
      </c>
      <c r="W243" s="4" t="str">
        <f t="shared" si="32"/>
        <v/>
      </c>
      <c r="X243" s="4" t="str">
        <f t="shared" si="33"/>
        <v>2</v>
      </c>
      <c r="Y243" s="4" t="str">
        <f t="shared" si="34"/>
        <v/>
      </c>
      <c r="Z243" s="4"/>
      <c r="AA243" s="4"/>
      <c r="AB243" s="4">
        <v>256</v>
      </c>
      <c r="AC243" s="4" t="s">
        <v>389</v>
      </c>
      <c r="AD243" s="4">
        <v>32000</v>
      </c>
      <c r="AE243" s="4">
        <v>4094</v>
      </c>
      <c r="AF243" s="4"/>
    </row>
    <row r="244" spans="1:32" s="1" customFormat="1" x14ac:dyDescent="0.2">
      <c r="A244" s="4" t="str">
        <f t="shared" si="35"/>
        <v>C9300L-24T-4G-A</v>
      </c>
      <c r="B244" s="4" t="s">
        <v>134</v>
      </c>
      <c r="C244" s="4" t="s">
        <v>96</v>
      </c>
      <c r="D244" s="4" t="s">
        <v>128</v>
      </c>
      <c r="E244" s="4"/>
      <c r="F244" s="4" t="s">
        <v>352</v>
      </c>
      <c r="G244" s="4">
        <v>24</v>
      </c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>
        <v>4</v>
      </c>
      <c r="V244" s="4"/>
      <c r="W244" s="4"/>
      <c r="X244" s="4"/>
      <c r="Y244" s="4"/>
      <c r="Z244" s="4"/>
      <c r="AA244" s="4"/>
      <c r="AB244" s="4">
        <v>56</v>
      </c>
      <c r="AC244" s="4" t="s">
        <v>389</v>
      </c>
      <c r="AD244" s="4">
        <v>32000</v>
      </c>
      <c r="AE244" s="4">
        <v>4094</v>
      </c>
      <c r="AF244" s="4"/>
    </row>
    <row r="245" spans="1:32" x14ac:dyDescent="0.2">
      <c r="A245" s="2" t="str">
        <f t="shared" si="35"/>
        <v>C9300L-24T-4X-A</v>
      </c>
      <c r="B245" s="2" t="s">
        <v>134</v>
      </c>
      <c r="C245" s="2" t="s">
        <v>97</v>
      </c>
      <c r="D245" s="2" t="s">
        <v>128</v>
      </c>
      <c r="E245" s="2"/>
      <c r="F245" s="2" t="s">
        <v>352</v>
      </c>
      <c r="G245" s="2">
        <v>24</v>
      </c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>
        <v>4</v>
      </c>
      <c r="X245" s="2"/>
      <c r="Y245" s="2"/>
      <c r="Z245" s="2"/>
      <c r="AA245" s="2"/>
      <c r="AB245" s="2">
        <v>128</v>
      </c>
      <c r="AC245" s="4" t="s">
        <v>389</v>
      </c>
      <c r="AD245" s="4">
        <v>32000</v>
      </c>
      <c r="AE245" s="2">
        <v>4094</v>
      </c>
      <c r="AF245" s="2"/>
    </row>
    <row r="246" spans="1:32" x14ac:dyDescent="0.2">
      <c r="A246" s="2" t="str">
        <f t="shared" si="35"/>
        <v>C9300L-48T-4G-A</v>
      </c>
      <c r="B246" s="2" t="s">
        <v>134</v>
      </c>
      <c r="C246" s="2" t="s">
        <v>98</v>
      </c>
      <c r="D246" s="2" t="s">
        <v>128</v>
      </c>
      <c r="E246" s="2"/>
      <c r="F246" s="2" t="s">
        <v>352</v>
      </c>
      <c r="G246" s="2">
        <v>48</v>
      </c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>
        <v>4</v>
      </c>
      <c r="V246" s="2"/>
      <c r="W246" s="2"/>
      <c r="X246" s="2"/>
      <c r="Y246" s="2"/>
      <c r="Z246" s="2"/>
      <c r="AA246" s="2"/>
      <c r="AB246" s="2">
        <v>104</v>
      </c>
      <c r="AC246" s="4" t="s">
        <v>389</v>
      </c>
      <c r="AD246" s="4">
        <v>32000</v>
      </c>
      <c r="AE246" s="2">
        <v>4094</v>
      </c>
      <c r="AF246" s="2"/>
    </row>
    <row r="247" spans="1:32" x14ac:dyDescent="0.2">
      <c r="A247" s="2" t="str">
        <f t="shared" si="35"/>
        <v>C9300L-48T-4X-A</v>
      </c>
      <c r="B247" s="2" t="s">
        <v>134</v>
      </c>
      <c r="C247" s="2" t="s">
        <v>99</v>
      </c>
      <c r="D247" s="2" t="s">
        <v>128</v>
      </c>
      <c r="E247" s="2"/>
      <c r="F247" s="2" t="s">
        <v>352</v>
      </c>
      <c r="G247" s="2">
        <v>48</v>
      </c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>
        <v>4</v>
      </c>
      <c r="X247" s="2"/>
      <c r="Y247" s="2"/>
      <c r="Z247" s="2"/>
      <c r="AA247" s="2"/>
      <c r="AB247" s="2">
        <v>176</v>
      </c>
      <c r="AC247" s="4" t="s">
        <v>389</v>
      </c>
      <c r="AD247" s="4">
        <v>32000</v>
      </c>
      <c r="AE247" s="2">
        <v>4094</v>
      </c>
      <c r="AF247" s="2"/>
    </row>
    <row r="248" spans="1:32" x14ac:dyDescent="0.2">
      <c r="A248" s="2" t="str">
        <f t="shared" si="35"/>
        <v>C9300L-24P-4G-A</v>
      </c>
      <c r="B248" s="2" t="s">
        <v>134</v>
      </c>
      <c r="C248" s="2" t="s">
        <v>100</v>
      </c>
      <c r="D248" s="2" t="s">
        <v>128</v>
      </c>
      <c r="E248" s="2"/>
      <c r="F248" s="2" t="s">
        <v>352</v>
      </c>
      <c r="G248" s="2"/>
      <c r="H248" s="2"/>
      <c r="I248" s="2">
        <v>24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>
        <v>4</v>
      </c>
      <c r="V248" s="2"/>
      <c r="W248" s="2"/>
      <c r="X248" s="2"/>
      <c r="Y248" s="2"/>
      <c r="Z248" s="2"/>
      <c r="AA248" s="2">
        <v>505</v>
      </c>
      <c r="AB248" s="2">
        <v>56</v>
      </c>
      <c r="AC248" s="4" t="s">
        <v>389</v>
      </c>
      <c r="AD248" s="4">
        <v>32000</v>
      </c>
      <c r="AE248" s="2">
        <v>4094</v>
      </c>
      <c r="AF248" s="4" t="s">
        <v>456</v>
      </c>
    </row>
    <row r="249" spans="1:32" x14ac:dyDescent="0.2">
      <c r="A249" s="2" t="str">
        <f t="shared" si="35"/>
        <v>C9300L-24P-4X-A</v>
      </c>
      <c r="B249" s="2" t="s">
        <v>134</v>
      </c>
      <c r="C249" s="2" t="s">
        <v>101</v>
      </c>
      <c r="D249" s="2" t="s">
        <v>128</v>
      </c>
      <c r="E249" s="2"/>
      <c r="F249" s="2" t="s">
        <v>352</v>
      </c>
      <c r="G249" s="2"/>
      <c r="H249" s="2"/>
      <c r="I249" s="2">
        <v>24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>
        <v>4</v>
      </c>
      <c r="X249" s="2"/>
      <c r="Y249" s="2"/>
      <c r="Z249" s="2"/>
      <c r="AA249" s="2">
        <v>505</v>
      </c>
      <c r="AB249" s="2">
        <v>128</v>
      </c>
      <c r="AC249" s="4" t="s">
        <v>389</v>
      </c>
      <c r="AD249" s="4">
        <v>32000</v>
      </c>
      <c r="AE249" s="2">
        <v>4094</v>
      </c>
      <c r="AF249" s="4" t="s">
        <v>456</v>
      </c>
    </row>
    <row r="250" spans="1:32" x14ac:dyDescent="0.2">
      <c r="A250" s="2" t="str">
        <f t="shared" si="35"/>
        <v>C9300L-48P-4G-A</v>
      </c>
      <c r="B250" s="2" t="s">
        <v>134</v>
      </c>
      <c r="C250" s="2" t="s">
        <v>102</v>
      </c>
      <c r="D250" s="2" t="s">
        <v>128</v>
      </c>
      <c r="E250" s="2"/>
      <c r="F250" s="2" t="s">
        <v>352</v>
      </c>
      <c r="G250" s="2"/>
      <c r="H250" s="2"/>
      <c r="I250" s="2">
        <v>48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>
        <v>4</v>
      </c>
      <c r="V250" s="2"/>
      <c r="W250" s="2"/>
      <c r="X250" s="2"/>
      <c r="Y250" s="2"/>
      <c r="Z250" s="2"/>
      <c r="AA250" s="2">
        <v>505</v>
      </c>
      <c r="AB250" s="2">
        <v>104</v>
      </c>
      <c r="AC250" s="4" t="s">
        <v>389</v>
      </c>
      <c r="AD250" s="4">
        <v>32000</v>
      </c>
      <c r="AE250" s="2">
        <v>4094</v>
      </c>
      <c r="AF250" s="4" t="s">
        <v>456</v>
      </c>
    </row>
    <row r="251" spans="1:32" x14ac:dyDescent="0.2">
      <c r="A251" s="2" t="str">
        <f t="shared" si="35"/>
        <v>C9300L-48P-4X-A</v>
      </c>
      <c r="B251" s="2" t="s">
        <v>134</v>
      </c>
      <c r="C251" s="2" t="s">
        <v>103</v>
      </c>
      <c r="D251" s="2" t="s">
        <v>128</v>
      </c>
      <c r="E251" s="2"/>
      <c r="F251" s="2" t="s">
        <v>352</v>
      </c>
      <c r="G251" s="2"/>
      <c r="H251" s="2"/>
      <c r="I251" s="2">
        <v>48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>
        <v>4</v>
      </c>
      <c r="X251" s="2"/>
      <c r="Y251" s="2"/>
      <c r="Z251" s="2"/>
      <c r="AA251" s="2">
        <v>505</v>
      </c>
      <c r="AB251" s="2">
        <v>176</v>
      </c>
      <c r="AC251" s="4" t="s">
        <v>389</v>
      </c>
      <c r="AD251" s="4">
        <v>32000</v>
      </c>
      <c r="AE251" s="2">
        <v>4094</v>
      </c>
      <c r="AF251" s="4" t="s">
        <v>456</v>
      </c>
    </row>
    <row r="252" spans="1:32" x14ac:dyDescent="0.2">
      <c r="A252" s="2" t="str">
        <f t="shared" si="35"/>
        <v>C9300L-48PF-4G-A</v>
      </c>
      <c r="B252" s="2" t="s">
        <v>134</v>
      </c>
      <c r="C252" s="2" t="s">
        <v>156</v>
      </c>
      <c r="D252" s="2" t="s">
        <v>128</v>
      </c>
      <c r="E252" s="2"/>
      <c r="F252" s="2" t="s">
        <v>352</v>
      </c>
      <c r="G252" s="2"/>
      <c r="H252" s="2"/>
      <c r="I252" s="2">
        <v>48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>
        <v>4</v>
      </c>
      <c r="V252" s="2"/>
      <c r="W252" s="2"/>
      <c r="X252" s="2"/>
      <c r="Y252" s="2"/>
      <c r="Z252" s="2"/>
      <c r="AA252" s="2">
        <v>890</v>
      </c>
      <c r="AB252" s="2">
        <v>104</v>
      </c>
      <c r="AC252" s="4" t="s">
        <v>389</v>
      </c>
      <c r="AD252" s="4">
        <v>32000</v>
      </c>
      <c r="AE252" s="2">
        <v>4094</v>
      </c>
      <c r="AF252" s="4" t="s">
        <v>456</v>
      </c>
    </row>
    <row r="253" spans="1:32" s="1" customFormat="1" x14ac:dyDescent="0.2">
      <c r="A253" s="4" t="str">
        <f>IF(D253="Fixed",C253,C253&amp;"-"&amp;E253)</f>
        <v>C9300L-48PF-4X-A</v>
      </c>
      <c r="B253" s="4" t="s">
        <v>134</v>
      </c>
      <c r="C253" s="4" t="s">
        <v>157</v>
      </c>
      <c r="D253" s="4" t="s">
        <v>128</v>
      </c>
      <c r="E253" s="4"/>
      <c r="F253" s="4" t="s">
        <v>352</v>
      </c>
      <c r="G253" s="4"/>
      <c r="H253" s="4"/>
      <c r="I253" s="4">
        <v>48</v>
      </c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>
        <v>4</v>
      </c>
      <c r="X253" s="4"/>
      <c r="Y253" s="4"/>
      <c r="Z253" s="4"/>
      <c r="AA253" s="4">
        <v>890</v>
      </c>
      <c r="AB253" s="4">
        <v>176</v>
      </c>
      <c r="AC253" s="4" t="s">
        <v>389</v>
      </c>
      <c r="AD253" s="4">
        <v>32000</v>
      </c>
      <c r="AE253" s="2">
        <v>4094</v>
      </c>
      <c r="AF253" s="4" t="s">
        <v>456</v>
      </c>
    </row>
    <row r="254" spans="1:32" x14ac:dyDescent="0.2">
      <c r="A254" s="2" t="str">
        <f t="shared" ref="A254:A257" si="36">IF(D254="Fixed",C254,C254&amp;"-"&amp;E254)</f>
        <v>C9300L-24UXG-4X-A</v>
      </c>
      <c r="B254" s="2" t="s">
        <v>134</v>
      </c>
      <c r="C254" s="4" t="s">
        <v>492</v>
      </c>
      <c r="D254" s="2" t="s">
        <v>128</v>
      </c>
      <c r="E254" s="2"/>
      <c r="F254" s="2" t="s">
        <v>352</v>
      </c>
      <c r="G254" s="2"/>
      <c r="H254" s="2"/>
      <c r="I254" s="2"/>
      <c r="J254" s="2">
        <v>16</v>
      </c>
      <c r="K254" s="2"/>
      <c r="L254" s="2"/>
      <c r="M254" s="2"/>
      <c r="N254" s="2"/>
      <c r="O254" s="2">
        <v>8</v>
      </c>
      <c r="P254" s="2"/>
      <c r="Q254" s="2"/>
      <c r="R254" s="2"/>
      <c r="S254" s="2"/>
      <c r="T254" s="2"/>
      <c r="U254" s="2"/>
      <c r="V254" s="2"/>
      <c r="W254" s="2">
        <v>4</v>
      </c>
      <c r="X254" s="2"/>
      <c r="Y254" s="2"/>
      <c r="Z254" s="2"/>
      <c r="AA254" s="2">
        <v>880</v>
      </c>
      <c r="AB254" s="2">
        <v>272</v>
      </c>
      <c r="AC254" s="4" t="s">
        <v>389</v>
      </c>
      <c r="AD254" s="4">
        <v>32000</v>
      </c>
      <c r="AE254" s="2">
        <v>4094</v>
      </c>
      <c r="AF254" s="4" t="s">
        <v>456</v>
      </c>
    </row>
    <row r="255" spans="1:32" x14ac:dyDescent="0.2">
      <c r="A255" s="2" t="str">
        <f t="shared" si="36"/>
        <v>C9300L-24UXG-2Q-A</v>
      </c>
      <c r="B255" s="2" t="s">
        <v>134</v>
      </c>
      <c r="C255" s="4" t="s">
        <v>493</v>
      </c>
      <c r="D255" s="2" t="s">
        <v>128</v>
      </c>
      <c r="E255" s="2"/>
      <c r="F255" s="2" t="s">
        <v>352</v>
      </c>
      <c r="G255" s="2"/>
      <c r="H255" s="2"/>
      <c r="I255" s="2"/>
      <c r="J255" s="2">
        <v>16</v>
      </c>
      <c r="K255" s="2"/>
      <c r="L255" s="2"/>
      <c r="M255" s="2"/>
      <c r="N255" s="2"/>
      <c r="O255" s="2">
        <v>8</v>
      </c>
      <c r="P255" s="2"/>
      <c r="Q255" s="2"/>
      <c r="R255" s="2"/>
      <c r="S255" s="2"/>
      <c r="T255" s="2"/>
      <c r="U255" s="2"/>
      <c r="V255" s="2"/>
      <c r="W255" s="2"/>
      <c r="X255" s="2"/>
      <c r="Y255" s="2">
        <v>2</v>
      </c>
      <c r="Z255" s="2"/>
      <c r="AA255" s="2">
        <v>722</v>
      </c>
      <c r="AB255" s="2">
        <v>352</v>
      </c>
      <c r="AC255" s="4" t="s">
        <v>389</v>
      </c>
      <c r="AD255" s="4">
        <v>32000</v>
      </c>
      <c r="AE255" s="2">
        <v>4094</v>
      </c>
      <c r="AF255" s="4" t="s">
        <v>456</v>
      </c>
    </row>
    <row r="256" spans="1:32" x14ac:dyDescent="0.2">
      <c r="A256" s="2" t="str">
        <f t="shared" si="36"/>
        <v>C9300L-48UXG-4X-A</v>
      </c>
      <c r="B256" s="2" t="s">
        <v>134</v>
      </c>
      <c r="C256" s="4" t="s">
        <v>494</v>
      </c>
      <c r="D256" s="2" t="s">
        <v>128</v>
      </c>
      <c r="E256" s="2"/>
      <c r="F256" s="2" t="s">
        <v>352</v>
      </c>
      <c r="G256" s="2"/>
      <c r="H256" s="2"/>
      <c r="I256" s="2"/>
      <c r="J256" s="2">
        <v>36</v>
      </c>
      <c r="K256" s="2"/>
      <c r="L256" s="2"/>
      <c r="M256" s="2"/>
      <c r="N256" s="2"/>
      <c r="O256" s="2">
        <v>12</v>
      </c>
      <c r="P256" s="2"/>
      <c r="Q256" s="2"/>
      <c r="R256" s="2"/>
      <c r="S256" s="2"/>
      <c r="T256" s="2"/>
      <c r="U256" s="2"/>
      <c r="V256" s="2"/>
      <c r="W256" s="2">
        <v>4</v>
      </c>
      <c r="X256" s="2"/>
      <c r="Y256" s="2"/>
      <c r="Z256" s="2"/>
      <c r="AA256" s="2">
        <v>675</v>
      </c>
      <c r="AB256" s="2">
        <v>392</v>
      </c>
      <c r="AC256" s="4" t="s">
        <v>389</v>
      </c>
      <c r="AD256" s="4">
        <v>32000</v>
      </c>
      <c r="AE256" s="2">
        <v>4094</v>
      </c>
      <c r="AF256" s="4" t="s">
        <v>456</v>
      </c>
    </row>
    <row r="257" spans="1:32" s="1" customFormat="1" x14ac:dyDescent="0.2">
      <c r="A257" s="4" t="str">
        <f t="shared" si="36"/>
        <v>C9300L-48UXG-2Q-A</v>
      </c>
      <c r="B257" s="4" t="s">
        <v>134</v>
      </c>
      <c r="C257" s="4" t="s">
        <v>495</v>
      </c>
      <c r="D257" s="4" t="s">
        <v>128</v>
      </c>
      <c r="E257" s="4"/>
      <c r="F257" s="4" t="s">
        <v>352</v>
      </c>
      <c r="G257" s="4"/>
      <c r="H257" s="4"/>
      <c r="I257" s="4"/>
      <c r="J257" s="4">
        <v>36</v>
      </c>
      <c r="K257" s="4"/>
      <c r="L257" s="4"/>
      <c r="M257" s="4"/>
      <c r="N257" s="4"/>
      <c r="O257" s="4">
        <v>12</v>
      </c>
      <c r="P257" s="4"/>
      <c r="Q257" s="4"/>
      <c r="R257" s="4"/>
      <c r="S257" s="4"/>
      <c r="T257" s="4"/>
      <c r="U257" s="4"/>
      <c r="V257" s="4"/>
      <c r="W257" s="4"/>
      <c r="X257" s="4"/>
      <c r="Y257" s="4">
        <v>2</v>
      </c>
      <c r="Z257" s="4"/>
      <c r="AA257" s="4">
        <v>675</v>
      </c>
      <c r="AB257" s="4">
        <v>472</v>
      </c>
      <c r="AC257" s="4" t="s">
        <v>389</v>
      </c>
      <c r="AD257" s="4">
        <v>32000</v>
      </c>
      <c r="AE257" s="4">
        <v>4094</v>
      </c>
      <c r="AF257" s="4" t="s">
        <v>456</v>
      </c>
    </row>
    <row r="258" spans="1:32" s="1" customFormat="1" x14ac:dyDescent="0.2">
      <c r="A258" s="4" t="str">
        <f t="shared" ref="A258:A268" si="37">IF(D258="Fixed",C258,C258&amp;"-"&amp;E258)</f>
        <v>C9300-24T-A-C9300-NM-4G</v>
      </c>
      <c r="B258" s="4" t="s">
        <v>134</v>
      </c>
      <c r="C258" s="4" t="s">
        <v>107</v>
      </c>
      <c r="D258" s="4" t="s">
        <v>129</v>
      </c>
      <c r="E258" s="4" t="s">
        <v>137</v>
      </c>
      <c r="F258" s="4" t="s">
        <v>352</v>
      </c>
      <c r="G258" s="4">
        <v>24</v>
      </c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29" t="str">
        <f>IF(E258="C9300-NM-4G","4","")</f>
        <v>4</v>
      </c>
      <c r="V258" s="4" t="str">
        <f>IF(E258="C9300-NM-4M","4","")</f>
        <v/>
      </c>
      <c r="W258" s="4" t="str">
        <f>IF(E258="C9300-NM-8X","8","")</f>
        <v/>
      </c>
      <c r="X258" s="4" t="str">
        <f>IF(E258="C9300-NM-2Y","2","")</f>
        <v/>
      </c>
      <c r="Y258" s="4" t="str">
        <f>IF(E258="C9300-NM-2Q","2","")</f>
        <v/>
      </c>
      <c r="Z258" s="4"/>
      <c r="AA258" s="4"/>
      <c r="AB258" s="4">
        <v>208</v>
      </c>
      <c r="AC258" s="4" t="s">
        <v>389</v>
      </c>
      <c r="AD258" s="4">
        <v>32000</v>
      </c>
      <c r="AE258" s="4">
        <v>4094</v>
      </c>
      <c r="AF258" s="4"/>
    </row>
    <row r="259" spans="1:32" x14ac:dyDescent="0.2">
      <c r="A259" s="2" t="str">
        <f t="shared" si="37"/>
        <v>C9300-24T-A-C9300-NM-4M</v>
      </c>
      <c r="B259" s="2" t="s">
        <v>134</v>
      </c>
      <c r="C259" s="2" t="s">
        <v>107</v>
      </c>
      <c r="D259" s="2" t="s">
        <v>129</v>
      </c>
      <c r="E259" s="2" t="s">
        <v>138</v>
      </c>
      <c r="F259" s="2" t="s">
        <v>352</v>
      </c>
      <c r="G259" s="2">
        <v>24</v>
      </c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9" t="str">
        <f t="shared" ref="U259:U322" si="38">IF(E259="C9300-NM-4G","4","")</f>
        <v/>
      </c>
      <c r="V259" s="4" t="str">
        <f t="shared" ref="V259:V322" si="39">IF(E259="C9300-NM-4M","4","")</f>
        <v>4</v>
      </c>
      <c r="W259" s="4" t="str">
        <f t="shared" ref="W259:W322" si="40">IF(E259="C9300-NM-8X","8","")</f>
        <v/>
      </c>
      <c r="X259" s="4" t="str">
        <f t="shared" ref="X259:X322" si="41">IF(E259="C9300-NM-2Y","2","")</f>
        <v/>
      </c>
      <c r="Y259" s="4" t="str">
        <f t="shared" ref="Y259:Y322" si="42">IF(E259="C9300-NM-2Q","2","")</f>
        <v/>
      </c>
      <c r="Z259" s="2"/>
      <c r="AA259" s="2"/>
      <c r="AB259" s="2">
        <v>208</v>
      </c>
      <c r="AC259" s="4" t="s">
        <v>389</v>
      </c>
      <c r="AD259" s="4">
        <v>32000</v>
      </c>
      <c r="AE259" s="2">
        <v>4094</v>
      </c>
      <c r="AF259" s="2"/>
    </row>
    <row r="260" spans="1:32" x14ac:dyDescent="0.2">
      <c r="A260" s="2" t="str">
        <f t="shared" si="37"/>
        <v>C9300-24T-A-C9300-NM-8X</v>
      </c>
      <c r="B260" s="2" t="s">
        <v>134</v>
      </c>
      <c r="C260" s="2" t="s">
        <v>107</v>
      </c>
      <c r="D260" s="2" t="s">
        <v>129</v>
      </c>
      <c r="E260" s="2" t="s">
        <v>139</v>
      </c>
      <c r="F260" s="2" t="s">
        <v>352</v>
      </c>
      <c r="G260" s="2">
        <v>24</v>
      </c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9" t="str">
        <f t="shared" si="38"/>
        <v/>
      </c>
      <c r="V260" s="4" t="str">
        <f t="shared" si="39"/>
        <v/>
      </c>
      <c r="W260" s="4" t="str">
        <f t="shared" si="40"/>
        <v>8</v>
      </c>
      <c r="X260" s="4" t="str">
        <f t="shared" si="41"/>
        <v/>
      </c>
      <c r="Y260" s="4" t="str">
        <f t="shared" si="42"/>
        <v/>
      </c>
      <c r="Z260" s="2"/>
      <c r="AA260" s="2"/>
      <c r="AB260" s="2">
        <v>208</v>
      </c>
      <c r="AC260" s="4" t="s">
        <v>389</v>
      </c>
      <c r="AD260" s="4">
        <v>32000</v>
      </c>
      <c r="AE260" s="2">
        <v>4094</v>
      </c>
      <c r="AF260" s="2"/>
    </row>
    <row r="261" spans="1:32" x14ac:dyDescent="0.2">
      <c r="A261" s="2" t="str">
        <f t="shared" si="37"/>
        <v>C9300-24T-A-C9300-NM-2Q</v>
      </c>
      <c r="B261" s="2" t="s">
        <v>134</v>
      </c>
      <c r="C261" s="2" t="s">
        <v>107</v>
      </c>
      <c r="D261" s="2" t="s">
        <v>129</v>
      </c>
      <c r="E261" s="2" t="s">
        <v>140</v>
      </c>
      <c r="F261" s="2" t="s">
        <v>352</v>
      </c>
      <c r="G261" s="2">
        <v>24</v>
      </c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9" t="str">
        <f t="shared" si="38"/>
        <v/>
      </c>
      <c r="V261" s="4" t="str">
        <f t="shared" si="39"/>
        <v/>
      </c>
      <c r="W261" s="4" t="str">
        <f t="shared" si="40"/>
        <v/>
      </c>
      <c r="X261" s="4" t="str">
        <f t="shared" si="41"/>
        <v/>
      </c>
      <c r="Y261" s="4" t="str">
        <f t="shared" si="42"/>
        <v>2</v>
      </c>
      <c r="Z261" s="2"/>
      <c r="AA261" s="2"/>
      <c r="AB261" s="2">
        <v>208</v>
      </c>
      <c r="AC261" s="4" t="s">
        <v>389</v>
      </c>
      <c r="AD261" s="4">
        <v>32000</v>
      </c>
      <c r="AE261" s="2">
        <v>4094</v>
      </c>
      <c r="AF261" s="2"/>
    </row>
    <row r="262" spans="1:32" x14ac:dyDescent="0.2">
      <c r="A262" s="2" t="str">
        <f t="shared" si="37"/>
        <v>C9300-24T-A-C9300-NM-2Y</v>
      </c>
      <c r="B262" s="2" t="s">
        <v>134</v>
      </c>
      <c r="C262" s="2" t="s">
        <v>107</v>
      </c>
      <c r="D262" s="2" t="s">
        <v>129</v>
      </c>
      <c r="E262" s="2" t="s">
        <v>141</v>
      </c>
      <c r="F262" s="2" t="s">
        <v>352</v>
      </c>
      <c r="G262" s="2">
        <v>24</v>
      </c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9" t="str">
        <f t="shared" si="38"/>
        <v/>
      </c>
      <c r="V262" s="4" t="str">
        <f t="shared" si="39"/>
        <v/>
      </c>
      <c r="W262" s="4" t="str">
        <f t="shared" si="40"/>
        <v/>
      </c>
      <c r="X262" s="4" t="str">
        <f t="shared" si="41"/>
        <v>2</v>
      </c>
      <c r="Y262" s="4" t="str">
        <f t="shared" si="42"/>
        <v/>
      </c>
      <c r="Z262" s="2"/>
      <c r="AA262" s="2"/>
      <c r="AB262" s="2">
        <v>208</v>
      </c>
      <c r="AC262" s="4" t="s">
        <v>389</v>
      </c>
      <c r="AD262" s="4">
        <v>32000</v>
      </c>
      <c r="AE262" s="2">
        <v>4094</v>
      </c>
      <c r="AF262" s="2"/>
    </row>
    <row r="263" spans="1:32" x14ac:dyDescent="0.2">
      <c r="A263" s="2" t="str">
        <f t="shared" si="37"/>
        <v>C9300-48T-A-C9300-NM-4G</v>
      </c>
      <c r="B263" s="2" t="s">
        <v>134</v>
      </c>
      <c r="C263" s="2" t="s">
        <v>111</v>
      </c>
      <c r="D263" s="2" t="s">
        <v>129</v>
      </c>
      <c r="E263" s="2" t="s">
        <v>137</v>
      </c>
      <c r="F263" s="2" t="s">
        <v>352</v>
      </c>
      <c r="G263" s="2">
        <v>48</v>
      </c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9" t="str">
        <f t="shared" si="38"/>
        <v>4</v>
      </c>
      <c r="V263" s="4" t="str">
        <f t="shared" si="39"/>
        <v/>
      </c>
      <c r="W263" s="4" t="str">
        <f t="shared" si="40"/>
        <v/>
      </c>
      <c r="X263" s="4" t="str">
        <f t="shared" si="41"/>
        <v/>
      </c>
      <c r="Y263" s="4" t="str">
        <f t="shared" si="42"/>
        <v/>
      </c>
      <c r="Z263" s="2"/>
      <c r="AA263" s="2"/>
      <c r="AB263" s="2">
        <v>256</v>
      </c>
      <c r="AC263" s="4" t="s">
        <v>389</v>
      </c>
      <c r="AD263" s="4">
        <v>32000</v>
      </c>
      <c r="AE263" s="2">
        <v>4094</v>
      </c>
      <c r="AF263" s="2"/>
    </row>
    <row r="264" spans="1:32" x14ac:dyDescent="0.2">
      <c r="A264" s="2" t="str">
        <f t="shared" si="37"/>
        <v>C9300-48T-A-C9300-NM-4M</v>
      </c>
      <c r="B264" s="2" t="s">
        <v>134</v>
      </c>
      <c r="C264" s="2" t="s">
        <v>111</v>
      </c>
      <c r="D264" s="2" t="s">
        <v>129</v>
      </c>
      <c r="E264" s="2" t="s">
        <v>138</v>
      </c>
      <c r="F264" s="2" t="s">
        <v>352</v>
      </c>
      <c r="G264" s="2">
        <v>48</v>
      </c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9" t="str">
        <f t="shared" si="38"/>
        <v/>
      </c>
      <c r="V264" s="4" t="str">
        <f t="shared" si="39"/>
        <v>4</v>
      </c>
      <c r="W264" s="4" t="str">
        <f t="shared" si="40"/>
        <v/>
      </c>
      <c r="X264" s="4" t="str">
        <f t="shared" si="41"/>
        <v/>
      </c>
      <c r="Y264" s="4" t="str">
        <f t="shared" si="42"/>
        <v/>
      </c>
      <c r="Z264" s="2"/>
      <c r="AA264" s="2"/>
      <c r="AB264" s="2">
        <v>256</v>
      </c>
      <c r="AC264" s="4" t="s">
        <v>389</v>
      </c>
      <c r="AD264" s="4">
        <v>32000</v>
      </c>
      <c r="AE264" s="2">
        <v>4094</v>
      </c>
      <c r="AF264" s="2"/>
    </row>
    <row r="265" spans="1:32" x14ac:dyDescent="0.2">
      <c r="A265" s="2" t="str">
        <f t="shared" si="37"/>
        <v>C9300-48T-A-C9300-NM-8X</v>
      </c>
      <c r="B265" s="2" t="s">
        <v>134</v>
      </c>
      <c r="C265" s="2" t="s">
        <v>111</v>
      </c>
      <c r="D265" s="2" t="s">
        <v>129</v>
      </c>
      <c r="E265" s="2" t="s">
        <v>139</v>
      </c>
      <c r="F265" s="2" t="s">
        <v>352</v>
      </c>
      <c r="G265" s="2">
        <v>48</v>
      </c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9" t="str">
        <f t="shared" si="38"/>
        <v/>
      </c>
      <c r="V265" s="4" t="str">
        <f t="shared" si="39"/>
        <v/>
      </c>
      <c r="W265" s="4" t="str">
        <f t="shared" si="40"/>
        <v>8</v>
      </c>
      <c r="X265" s="4" t="str">
        <f t="shared" si="41"/>
        <v/>
      </c>
      <c r="Y265" s="4" t="str">
        <f t="shared" si="42"/>
        <v/>
      </c>
      <c r="Z265" s="2"/>
      <c r="AA265" s="2"/>
      <c r="AB265" s="2">
        <v>256</v>
      </c>
      <c r="AC265" s="4" t="s">
        <v>389</v>
      </c>
      <c r="AD265" s="4">
        <v>32000</v>
      </c>
      <c r="AE265" s="2">
        <v>4094</v>
      </c>
      <c r="AF265" s="2"/>
    </row>
    <row r="266" spans="1:32" x14ac:dyDescent="0.2">
      <c r="A266" s="2" t="str">
        <f t="shared" si="37"/>
        <v>C9300-48T-A-C9300-NM-2Q</v>
      </c>
      <c r="B266" s="2" t="s">
        <v>134</v>
      </c>
      <c r="C266" s="2" t="s">
        <v>111</v>
      </c>
      <c r="D266" s="2" t="s">
        <v>129</v>
      </c>
      <c r="E266" s="2" t="s">
        <v>140</v>
      </c>
      <c r="F266" s="2" t="s">
        <v>352</v>
      </c>
      <c r="G266" s="2">
        <v>48</v>
      </c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9" t="str">
        <f t="shared" si="38"/>
        <v/>
      </c>
      <c r="V266" s="4" t="str">
        <f t="shared" si="39"/>
        <v/>
      </c>
      <c r="W266" s="4" t="str">
        <f t="shared" si="40"/>
        <v/>
      </c>
      <c r="X266" s="4" t="str">
        <f t="shared" si="41"/>
        <v/>
      </c>
      <c r="Y266" s="4" t="str">
        <f t="shared" si="42"/>
        <v>2</v>
      </c>
      <c r="Z266" s="2"/>
      <c r="AA266" s="2"/>
      <c r="AB266" s="2">
        <v>256</v>
      </c>
      <c r="AC266" s="4" t="s">
        <v>389</v>
      </c>
      <c r="AD266" s="4">
        <v>32000</v>
      </c>
      <c r="AE266" s="2">
        <v>4094</v>
      </c>
      <c r="AF266" s="2"/>
    </row>
    <row r="267" spans="1:32" x14ac:dyDescent="0.2">
      <c r="A267" s="2" t="str">
        <f t="shared" si="37"/>
        <v>C9300-48T-A-C9300-NM-2Y</v>
      </c>
      <c r="B267" s="2" t="s">
        <v>134</v>
      </c>
      <c r="C267" s="2" t="s">
        <v>111</v>
      </c>
      <c r="D267" s="2" t="s">
        <v>129</v>
      </c>
      <c r="E267" s="2" t="s">
        <v>141</v>
      </c>
      <c r="F267" s="2" t="s">
        <v>352</v>
      </c>
      <c r="G267" s="2">
        <v>48</v>
      </c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9" t="str">
        <f t="shared" si="38"/>
        <v/>
      </c>
      <c r="V267" s="4" t="str">
        <f t="shared" si="39"/>
        <v/>
      </c>
      <c r="W267" s="4" t="str">
        <f t="shared" si="40"/>
        <v/>
      </c>
      <c r="X267" s="4" t="str">
        <f t="shared" si="41"/>
        <v>2</v>
      </c>
      <c r="Y267" s="4" t="str">
        <f t="shared" si="42"/>
        <v/>
      </c>
      <c r="Z267" s="2"/>
      <c r="AA267" s="2"/>
      <c r="AB267" s="2">
        <v>256</v>
      </c>
      <c r="AC267" s="4" t="s">
        <v>389</v>
      </c>
      <c r="AD267" s="4">
        <v>32000</v>
      </c>
      <c r="AE267" s="2">
        <v>4094</v>
      </c>
      <c r="AF267" s="2"/>
    </row>
    <row r="268" spans="1:32" x14ac:dyDescent="0.2">
      <c r="A268" s="2" t="str">
        <f t="shared" si="37"/>
        <v>C9300-24P-A-C9300-NM-4G</v>
      </c>
      <c r="B268" s="2" t="s">
        <v>134</v>
      </c>
      <c r="C268" s="2" t="s">
        <v>106</v>
      </c>
      <c r="D268" s="2" t="s">
        <v>129</v>
      </c>
      <c r="E268" s="2" t="s">
        <v>137</v>
      </c>
      <c r="F268" s="2" t="s">
        <v>352</v>
      </c>
      <c r="G268" s="2"/>
      <c r="H268" s="2"/>
      <c r="I268" s="2">
        <v>24</v>
      </c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9" t="str">
        <f t="shared" si="38"/>
        <v>4</v>
      </c>
      <c r="V268" s="4" t="str">
        <f t="shared" si="39"/>
        <v/>
      </c>
      <c r="W268" s="4" t="str">
        <f t="shared" si="40"/>
        <v/>
      </c>
      <c r="X268" s="4" t="str">
        <f t="shared" si="41"/>
        <v/>
      </c>
      <c r="Y268" s="4" t="str">
        <f t="shared" si="42"/>
        <v/>
      </c>
      <c r="Z268" s="2"/>
      <c r="AA268" s="2">
        <v>445</v>
      </c>
      <c r="AB268" s="4">
        <v>208</v>
      </c>
      <c r="AC268" s="4" t="s">
        <v>389</v>
      </c>
      <c r="AD268" s="4">
        <v>32000</v>
      </c>
      <c r="AE268" s="2">
        <v>4094</v>
      </c>
      <c r="AF268" s="4" t="s">
        <v>456</v>
      </c>
    </row>
    <row r="269" spans="1:32" x14ac:dyDescent="0.2">
      <c r="A269" s="2" t="str">
        <f t="shared" ref="A269:A276" si="43">IF(D269="Fixed",C269,C269&amp;"-"&amp;E269)</f>
        <v>C9300-24P-A-C9300-NM-4M</v>
      </c>
      <c r="B269" s="2" t="s">
        <v>134</v>
      </c>
      <c r="C269" s="2" t="s">
        <v>106</v>
      </c>
      <c r="D269" s="2" t="s">
        <v>129</v>
      </c>
      <c r="E269" s="2" t="s">
        <v>138</v>
      </c>
      <c r="F269" s="2" t="s">
        <v>352</v>
      </c>
      <c r="G269" s="2"/>
      <c r="H269" s="2"/>
      <c r="I269" s="2">
        <v>24</v>
      </c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9" t="str">
        <f t="shared" si="38"/>
        <v/>
      </c>
      <c r="V269" s="4" t="str">
        <f t="shared" si="39"/>
        <v>4</v>
      </c>
      <c r="W269" s="4" t="str">
        <f t="shared" si="40"/>
        <v/>
      </c>
      <c r="X269" s="4" t="str">
        <f t="shared" si="41"/>
        <v/>
      </c>
      <c r="Y269" s="4" t="str">
        <f t="shared" si="42"/>
        <v/>
      </c>
      <c r="Z269" s="2"/>
      <c r="AA269" s="2">
        <v>445</v>
      </c>
      <c r="AB269" s="2">
        <v>208</v>
      </c>
      <c r="AC269" s="4" t="s">
        <v>389</v>
      </c>
      <c r="AD269" s="4">
        <v>32000</v>
      </c>
      <c r="AE269" s="2">
        <v>4094</v>
      </c>
      <c r="AF269" s="4" t="s">
        <v>456</v>
      </c>
    </row>
    <row r="270" spans="1:32" x14ac:dyDescent="0.2">
      <c r="A270" s="2" t="str">
        <f t="shared" si="43"/>
        <v>C9300-24P-A-C9300-NM-8X</v>
      </c>
      <c r="B270" s="2" t="s">
        <v>134</v>
      </c>
      <c r="C270" s="2" t="s">
        <v>106</v>
      </c>
      <c r="D270" s="2" t="s">
        <v>129</v>
      </c>
      <c r="E270" s="2" t="s">
        <v>139</v>
      </c>
      <c r="F270" s="2" t="s">
        <v>352</v>
      </c>
      <c r="G270" s="2"/>
      <c r="H270" s="2"/>
      <c r="I270" s="2">
        <v>24</v>
      </c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9" t="str">
        <f t="shared" si="38"/>
        <v/>
      </c>
      <c r="V270" s="4" t="str">
        <f t="shared" si="39"/>
        <v/>
      </c>
      <c r="W270" s="4" t="str">
        <f t="shared" si="40"/>
        <v>8</v>
      </c>
      <c r="X270" s="4" t="str">
        <f t="shared" si="41"/>
        <v/>
      </c>
      <c r="Y270" s="4" t="str">
        <f t="shared" si="42"/>
        <v/>
      </c>
      <c r="Z270" s="2"/>
      <c r="AA270" s="2">
        <v>445</v>
      </c>
      <c r="AB270" s="2">
        <v>208</v>
      </c>
      <c r="AC270" s="4" t="s">
        <v>389</v>
      </c>
      <c r="AD270" s="4">
        <v>32000</v>
      </c>
      <c r="AE270" s="2">
        <v>4094</v>
      </c>
      <c r="AF270" s="4" t="s">
        <v>456</v>
      </c>
    </row>
    <row r="271" spans="1:32" x14ac:dyDescent="0.2">
      <c r="A271" s="2" t="str">
        <f t="shared" si="43"/>
        <v>C9300-24P-A-C9300-NM-2Q</v>
      </c>
      <c r="B271" s="2" t="s">
        <v>134</v>
      </c>
      <c r="C271" s="2" t="s">
        <v>106</v>
      </c>
      <c r="D271" s="2" t="s">
        <v>129</v>
      </c>
      <c r="E271" s="2" t="s">
        <v>140</v>
      </c>
      <c r="F271" s="2" t="s">
        <v>352</v>
      </c>
      <c r="G271" s="2"/>
      <c r="H271" s="2"/>
      <c r="I271" s="2">
        <v>24</v>
      </c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9" t="str">
        <f t="shared" si="38"/>
        <v/>
      </c>
      <c r="V271" s="4" t="str">
        <f t="shared" si="39"/>
        <v/>
      </c>
      <c r="W271" s="4" t="str">
        <f t="shared" si="40"/>
        <v/>
      </c>
      <c r="X271" s="4" t="str">
        <f t="shared" si="41"/>
        <v/>
      </c>
      <c r="Y271" s="4" t="str">
        <f t="shared" si="42"/>
        <v>2</v>
      </c>
      <c r="Z271" s="2"/>
      <c r="AA271" s="2">
        <v>445</v>
      </c>
      <c r="AB271" s="2">
        <v>208</v>
      </c>
      <c r="AC271" s="4" t="s">
        <v>389</v>
      </c>
      <c r="AD271" s="4">
        <v>32000</v>
      </c>
      <c r="AE271" s="2">
        <v>4094</v>
      </c>
      <c r="AF271" s="4" t="s">
        <v>456</v>
      </c>
    </row>
    <row r="272" spans="1:32" x14ac:dyDescent="0.2">
      <c r="A272" s="2" t="str">
        <f t="shared" si="43"/>
        <v>C9300-24P-A-C9300-NM-2Y</v>
      </c>
      <c r="B272" s="2" t="s">
        <v>134</v>
      </c>
      <c r="C272" s="2" t="s">
        <v>106</v>
      </c>
      <c r="D272" s="2" t="s">
        <v>129</v>
      </c>
      <c r="E272" s="2" t="s">
        <v>141</v>
      </c>
      <c r="F272" s="2" t="s">
        <v>352</v>
      </c>
      <c r="G272" s="2"/>
      <c r="H272" s="2"/>
      <c r="I272" s="2">
        <v>24</v>
      </c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9" t="str">
        <f t="shared" si="38"/>
        <v/>
      </c>
      <c r="V272" s="4" t="str">
        <f t="shared" si="39"/>
        <v/>
      </c>
      <c r="W272" s="4" t="str">
        <f t="shared" si="40"/>
        <v/>
      </c>
      <c r="X272" s="4" t="str">
        <f t="shared" si="41"/>
        <v>2</v>
      </c>
      <c r="Y272" s="4" t="str">
        <f t="shared" si="42"/>
        <v/>
      </c>
      <c r="Z272" s="2"/>
      <c r="AA272" s="2">
        <v>445</v>
      </c>
      <c r="AB272" s="2">
        <v>208</v>
      </c>
      <c r="AC272" s="4" t="s">
        <v>389</v>
      </c>
      <c r="AD272" s="4">
        <v>32000</v>
      </c>
      <c r="AE272" s="2">
        <v>4094</v>
      </c>
      <c r="AF272" s="4" t="s">
        <v>456</v>
      </c>
    </row>
    <row r="273" spans="1:32" x14ac:dyDescent="0.2">
      <c r="A273" s="2" t="str">
        <f t="shared" si="43"/>
        <v>C9300-48P-A-C9300-NM-4G</v>
      </c>
      <c r="B273" s="2" t="s">
        <v>134</v>
      </c>
      <c r="C273" s="2" t="s">
        <v>110</v>
      </c>
      <c r="D273" s="2" t="s">
        <v>129</v>
      </c>
      <c r="E273" s="2" t="s">
        <v>137</v>
      </c>
      <c r="F273" s="2" t="s">
        <v>352</v>
      </c>
      <c r="G273" s="2"/>
      <c r="H273" s="2"/>
      <c r="I273" s="2">
        <v>48</v>
      </c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9" t="str">
        <f t="shared" si="38"/>
        <v>4</v>
      </c>
      <c r="V273" s="4" t="str">
        <f t="shared" si="39"/>
        <v/>
      </c>
      <c r="W273" s="4" t="str">
        <f t="shared" si="40"/>
        <v/>
      </c>
      <c r="X273" s="4" t="str">
        <f t="shared" si="41"/>
        <v/>
      </c>
      <c r="Y273" s="4" t="str">
        <f t="shared" si="42"/>
        <v/>
      </c>
      <c r="Z273" s="2"/>
      <c r="AA273" s="2">
        <v>437</v>
      </c>
      <c r="AB273" s="2">
        <v>256</v>
      </c>
      <c r="AC273" s="4" t="s">
        <v>389</v>
      </c>
      <c r="AD273" s="4">
        <v>32000</v>
      </c>
      <c r="AE273" s="2">
        <v>4094</v>
      </c>
      <c r="AF273" s="4" t="s">
        <v>456</v>
      </c>
    </row>
    <row r="274" spans="1:32" x14ac:dyDescent="0.2">
      <c r="A274" s="2" t="str">
        <f t="shared" si="43"/>
        <v>C9300-48P-A-C9300-NM-4M</v>
      </c>
      <c r="B274" s="2" t="s">
        <v>134</v>
      </c>
      <c r="C274" s="2" t="s">
        <v>110</v>
      </c>
      <c r="D274" s="2" t="s">
        <v>129</v>
      </c>
      <c r="E274" s="2" t="s">
        <v>138</v>
      </c>
      <c r="F274" s="2" t="s">
        <v>352</v>
      </c>
      <c r="G274" s="2"/>
      <c r="H274" s="2"/>
      <c r="I274" s="2">
        <v>48</v>
      </c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9" t="str">
        <f t="shared" si="38"/>
        <v/>
      </c>
      <c r="V274" s="4" t="str">
        <f t="shared" si="39"/>
        <v>4</v>
      </c>
      <c r="W274" s="4" t="str">
        <f t="shared" si="40"/>
        <v/>
      </c>
      <c r="X274" s="4" t="str">
        <f t="shared" si="41"/>
        <v/>
      </c>
      <c r="Y274" s="4" t="str">
        <f t="shared" si="42"/>
        <v/>
      </c>
      <c r="Z274" s="2"/>
      <c r="AA274" s="2">
        <v>437</v>
      </c>
      <c r="AB274" s="2">
        <v>256</v>
      </c>
      <c r="AC274" s="4" t="s">
        <v>389</v>
      </c>
      <c r="AD274" s="4">
        <v>32000</v>
      </c>
      <c r="AE274" s="2">
        <v>4094</v>
      </c>
      <c r="AF274" s="4" t="s">
        <v>456</v>
      </c>
    </row>
    <row r="275" spans="1:32" x14ac:dyDescent="0.2">
      <c r="A275" s="2" t="str">
        <f t="shared" si="43"/>
        <v>C9300-48P-A-C9300-NM-8X</v>
      </c>
      <c r="B275" s="2" t="s">
        <v>134</v>
      </c>
      <c r="C275" s="2" t="s">
        <v>110</v>
      </c>
      <c r="D275" s="2" t="s">
        <v>129</v>
      </c>
      <c r="E275" s="2" t="s">
        <v>139</v>
      </c>
      <c r="F275" s="2" t="s">
        <v>352</v>
      </c>
      <c r="G275" s="2"/>
      <c r="H275" s="2"/>
      <c r="I275" s="2">
        <v>48</v>
      </c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9" t="str">
        <f t="shared" si="38"/>
        <v/>
      </c>
      <c r="V275" s="4" t="str">
        <f t="shared" si="39"/>
        <v/>
      </c>
      <c r="W275" s="4" t="str">
        <f t="shared" si="40"/>
        <v>8</v>
      </c>
      <c r="X275" s="4" t="str">
        <f t="shared" si="41"/>
        <v/>
      </c>
      <c r="Y275" s="4" t="str">
        <f t="shared" si="42"/>
        <v/>
      </c>
      <c r="Z275" s="2"/>
      <c r="AA275" s="2">
        <v>437</v>
      </c>
      <c r="AB275" s="2">
        <v>256</v>
      </c>
      <c r="AC275" s="4" t="s">
        <v>389</v>
      </c>
      <c r="AD275" s="4">
        <v>32000</v>
      </c>
      <c r="AE275" s="2">
        <v>4094</v>
      </c>
      <c r="AF275" s="4" t="s">
        <v>456</v>
      </c>
    </row>
    <row r="276" spans="1:32" x14ac:dyDescent="0.2">
      <c r="A276" s="2" t="str">
        <f t="shared" si="43"/>
        <v>C9300-48P-A-C9300-NM-2Q</v>
      </c>
      <c r="B276" s="2" t="s">
        <v>134</v>
      </c>
      <c r="C276" s="2" t="s">
        <v>110</v>
      </c>
      <c r="D276" s="2" t="s">
        <v>129</v>
      </c>
      <c r="E276" s="2" t="s">
        <v>140</v>
      </c>
      <c r="F276" s="2" t="s">
        <v>352</v>
      </c>
      <c r="G276" s="2"/>
      <c r="H276" s="2"/>
      <c r="I276" s="2">
        <v>48</v>
      </c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9" t="str">
        <f t="shared" si="38"/>
        <v/>
      </c>
      <c r="V276" s="4" t="str">
        <f t="shared" si="39"/>
        <v/>
      </c>
      <c r="W276" s="4" t="str">
        <f t="shared" si="40"/>
        <v/>
      </c>
      <c r="X276" s="4" t="str">
        <f t="shared" si="41"/>
        <v/>
      </c>
      <c r="Y276" s="4" t="str">
        <f t="shared" si="42"/>
        <v>2</v>
      </c>
      <c r="Z276" s="2"/>
      <c r="AA276" s="2">
        <v>437</v>
      </c>
      <c r="AB276" s="2">
        <v>256</v>
      </c>
      <c r="AC276" s="4" t="s">
        <v>389</v>
      </c>
      <c r="AD276" s="4">
        <v>32000</v>
      </c>
      <c r="AE276" s="2">
        <v>4094</v>
      </c>
      <c r="AF276" s="4" t="s">
        <v>456</v>
      </c>
    </row>
    <row r="277" spans="1:32" x14ac:dyDescent="0.2">
      <c r="A277" s="2" t="str">
        <f>IF(D277="Fixed",C277,C277&amp;"-"&amp;E277)</f>
        <v>C9300-48P-A-C9300-NM-2Y</v>
      </c>
      <c r="B277" s="2" t="s">
        <v>134</v>
      </c>
      <c r="C277" s="2" t="s">
        <v>110</v>
      </c>
      <c r="D277" s="2" t="s">
        <v>129</v>
      </c>
      <c r="E277" s="2" t="s">
        <v>141</v>
      </c>
      <c r="F277" s="2" t="s">
        <v>352</v>
      </c>
      <c r="G277" s="2"/>
      <c r="H277" s="2"/>
      <c r="I277" s="2">
        <v>48</v>
      </c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9" t="str">
        <f t="shared" si="38"/>
        <v/>
      </c>
      <c r="V277" s="4" t="str">
        <f t="shared" si="39"/>
        <v/>
      </c>
      <c r="W277" s="4" t="str">
        <f t="shared" si="40"/>
        <v/>
      </c>
      <c r="X277" s="4" t="str">
        <f t="shared" si="41"/>
        <v>2</v>
      </c>
      <c r="Y277" s="4" t="str">
        <f t="shared" si="42"/>
        <v/>
      </c>
      <c r="Z277" s="2"/>
      <c r="AA277" s="2">
        <v>437</v>
      </c>
      <c r="AB277" s="2">
        <v>256</v>
      </c>
      <c r="AC277" s="4" t="s">
        <v>389</v>
      </c>
      <c r="AD277" s="4">
        <v>32000</v>
      </c>
      <c r="AE277" s="2">
        <v>4094</v>
      </c>
      <c r="AF277" s="4" t="s">
        <v>456</v>
      </c>
    </row>
    <row r="278" spans="1:32" x14ac:dyDescent="0.2">
      <c r="A278" s="2" t="str">
        <f t="shared" ref="A278:A283" si="44">IF(D278="Fixed",C278,C278&amp;"-"&amp;E278)</f>
        <v>C9300-24U-A-C9300-NM-4G</v>
      </c>
      <c r="B278" s="2" t="s">
        <v>134</v>
      </c>
      <c r="C278" s="2" t="s">
        <v>108</v>
      </c>
      <c r="D278" s="2" t="s">
        <v>129</v>
      </c>
      <c r="E278" s="2" t="s">
        <v>137</v>
      </c>
      <c r="F278" s="2" t="s">
        <v>352</v>
      </c>
      <c r="G278" s="2"/>
      <c r="H278" s="2"/>
      <c r="I278" s="2"/>
      <c r="J278" s="2">
        <v>24</v>
      </c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9" t="str">
        <f t="shared" si="38"/>
        <v>4</v>
      </c>
      <c r="V278" s="4" t="str">
        <f t="shared" si="39"/>
        <v/>
      </c>
      <c r="W278" s="4" t="str">
        <f t="shared" si="40"/>
        <v/>
      </c>
      <c r="X278" s="4" t="str">
        <f t="shared" si="41"/>
        <v/>
      </c>
      <c r="Y278" s="4" t="str">
        <f t="shared" si="42"/>
        <v/>
      </c>
      <c r="Z278" s="2"/>
      <c r="AA278" s="2">
        <v>830</v>
      </c>
      <c r="AB278" s="4">
        <v>208</v>
      </c>
      <c r="AC278" s="4" t="s">
        <v>389</v>
      </c>
      <c r="AD278" s="4">
        <v>32000</v>
      </c>
      <c r="AE278" s="2">
        <v>4094</v>
      </c>
      <c r="AF278" s="4" t="s">
        <v>456</v>
      </c>
    </row>
    <row r="279" spans="1:32" x14ac:dyDescent="0.2">
      <c r="A279" s="2" t="str">
        <f t="shared" si="44"/>
        <v>C9300-24U-A-C9300-NM-4M</v>
      </c>
      <c r="B279" s="2" t="s">
        <v>134</v>
      </c>
      <c r="C279" s="2" t="s">
        <v>108</v>
      </c>
      <c r="D279" s="2" t="s">
        <v>129</v>
      </c>
      <c r="E279" s="2" t="s">
        <v>138</v>
      </c>
      <c r="F279" s="2" t="s">
        <v>352</v>
      </c>
      <c r="G279" s="2"/>
      <c r="H279" s="2"/>
      <c r="I279" s="2"/>
      <c r="J279" s="2">
        <v>24</v>
      </c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9" t="str">
        <f t="shared" si="38"/>
        <v/>
      </c>
      <c r="V279" s="4" t="str">
        <f t="shared" si="39"/>
        <v>4</v>
      </c>
      <c r="W279" s="4" t="str">
        <f t="shared" si="40"/>
        <v/>
      </c>
      <c r="X279" s="4" t="str">
        <f t="shared" si="41"/>
        <v/>
      </c>
      <c r="Y279" s="4" t="str">
        <f t="shared" si="42"/>
        <v/>
      </c>
      <c r="Z279" s="2"/>
      <c r="AA279" s="2">
        <v>830</v>
      </c>
      <c r="AB279" s="2">
        <v>208</v>
      </c>
      <c r="AC279" s="4" t="s">
        <v>389</v>
      </c>
      <c r="AD279" s="4">
        <v>32000</v>
      </c>
      <c r="AE279" s="2">
        <v>4094</v>
      </c>
      <c r="AF279" s="4" t="s">
        <v>456</v>
      </c>
    </row>
    <row r="280" spans="1:32" x14ac:dyDescent="0.2">
      <c r="A280" s="2" t="str">
        <f t="shared" si="44"/>
        <v>C9300-24U-A-C9300-NM-8X</v>
      </c>
      <c r="B280" s="2" t="s">
        <v>134</v>
      </c>
      <c r="C280" s="2" t="s">
        <v>108</v>
      </c>
      <c r="D280" s="2" t="s">
        <v>129</v>
      </c>
      <c r="E280" s="2" t="s">
        <v>139</v>
      </c>
      <c r="F280" s="2" t="s">
        <v>352</v>
      </c>
      <c r="G280" s="2"/>
      <c r="H280" s="2"/>
      <c r="I280" s="2"/>
      <c r="J280" s="2">
        <v>24</v>
      </c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9" t="str">
        <f t="shared" si="38"/>
        <v/>
      </c>
      <c r="V280" s="4" t="str">
        <f t="shared" si="39"/>
        <v/>
      </c>
      <c r="W280" s="4" t="str">
        <f t="shared" si="40"/>
        <v>8</v>
      </c>
      <c r="X280" s="4" t="str">
        <f t="shared" si="41"/>
        <v/>
      </c>
      <c r="Y280" s="4" t="str">
        <f t="shared" si="42"/>
        <v/>
      </c>
      <c r="Z280" s="2"/>
      <c r="AA280" s="2">
        <v>830</v>
      </c>
      <c r="AB280" s="2">
        <v>208</v>
      </c>
      <c r="AC280" s="4" t="s">
        <v>389</v>
      </c>
      <c r="AD280" s="4">
        <v>32000</v>
      </c>
      <c r="AE280" s="2">
        <v>4094</v>
      </c>
      <c r="AF280" s="4" t="s">
        <v>456</v>
      </c>
    </row>
    <row r="281" spans="1:32" x14ac:dyDescent="0.2">
      <c r="A281" s="2" t="str">
        <f t="shared" si="44"/>
        <v>C9300-24U-A-C9300-NM-2Q</v>
      </c>
      <c r="B281" s="2" t="s">
        <v>134</v>
      </c>
      <c r="C281" s="2" t="s">
        <v>108</v>
      </c>
      <c r="D281" s="2" t="s">
        <v>129</v>
      </c>
      <c r="E281" s="2" t="s">
        <v>140</v>
      </c>
      <c r="F281" s="2" t="s">
        <v>352</v>
      </c>
      <c r="G281" s="2"/>
      <c r="H281" s="2"/>
      <c r="I281" s="2"/>
      <c r="J281" s="2">
        <v>24</v>
      </c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9" t="str">
        <f t="shared" si="38"/>
        <v/>
      </c>
      <c r="V281" s="4" t="str">
        <f t="shared" si="39"/>
        <v/>
      </c>
      <c r="W281" s="4" t="str">
        <f t="shared" si="40"/>
        <v/>
      </c>
      <c r="X281" s="4" t="str">
        <f t="shared" si="41"/>
        <v/>
      </c>
      <c r="Y281" s="4" t="str">
        <f t="shared" si="42"/>
        <v>2</v>
      </c>
      <c r="Z281" s="2"/>
      <c r="AA281" s="2">
        <v>830</v>
      </c>
      <c r="AB281" s="2">
        <v>208</v>
      </c>
      <c r="AC281" s="4" t="s">
        <v>389</v>
      </c>
      <c r="AD281" s="4">
        <v>32000</v>
      </c>
      <c r="AE281" s="2">
        <v>4094</v>
      </c>
      <c r="AF281" s="4" t="s">
        <v>456</v>
      </c>
    </row>
    <row r="282" spans="1:32" x14ac:dyDescent="0.2">
      <c r="A282" s="2" t="str">
        <f t="shared" si="44"/>
        <v>C9300-24U-A-C9300-NM-2Y</v>
      </c>
      <c r="B282" s="2" t="s">
        <v>134</v>
      </c>
      <c r="C282" s="2" t="s">
        <v>108</v>
      </c>
      <c r="D282" s="2" t="s">
        <v>129</v>
      </c>
      <c r="E282" s="2" t="s">
        <v>141</v>
      </c>
      <c r="F282" s="2" t="s">
        <v>352</v>
      </c>
      <c r="G282" s="2"/>
      <c r="H282" s="2"/>
      <c r="I282" s="2"/>
      <c r="J282" s="2">
        <v>24</v>
      </c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9" t="str">
        <f t="shared" si="38"/>
        <v/>
      </c>
      <c r="V282" s="4" t="str">
        <f t="shared" si="39"/>
        <v/>
      </c>
      <c r="W282" s="4" t="str">
        <f t="shared" si="40"/>
        <v/>
      </c>
      <c r="X282" s="4" t="str">
        <f t="shared" si="41"/>
        <v>2</v>
      </c>
      <c r="Y282" s="4" t="str">
        <f t="shared" si="42"/>
        <v/>
      </c>
      <c r="Z282" s="2"/>
      <c r="AA282" s="2">
        <v>830</v>
      </c>
      <c r="AB282" s="2">
        <v>208</v>
      </c>
      <c r="AC282" s="4" t="s">
        <v>389</v>
      </c>
      <c r="AD282" s="4">
        <v>32000</v>
      </c>
      <c r="AE282" s="2">
        <v>4094</v>
      </c>
      <c r="AF282" s="4" t="s">
        <v>456</v>
      </c>
    </row>
    <row r="283" spans="1:32" x14ac:dyDescent="0.2">
      <c r="A283" s="2" t="str">
        <f t="shared" si="44"/>
        <v>C9300-48U-A-C9300-NM-4G</v>
      </c>
      <c r="B283" s="2" t="s">
        <v>134</v>
      </c>
      <c r="C283" s="2" t="s">
        <v>112</v>
      </c>
      <c r="D283" s="2" t="s">
        <v>129</v>
      </c>
      <c r="E283" s="2" t="s">
        <v>137</v>
      </c>
      <c r="F283" s="2" t="s">
        <v>352</v>
      </c>
      <c r="G283" s="2"/>
      <c r="H283" s="2"/>
      <c r="I283" s="2"/>
      <c r="J283" s="2">
        <v>48</v>
      </c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9" t="str">
        <f t="shared" si="38"/>
        <v>4</v>
      </c>
      <c r="V283" s="4" t="str">
        <f t="shared" si="39"/>
        <v/>
      </c>
      <c r="W283" s="4" t="str">
        <f t="shared" si="40"/>
        <v/>
      </c>
      <c r="X283" s="4" t="str">
        <f t="shared" si="41"/>
        <v/>
      </c>
      <c r="Y283" s="4" t="str">
        <f t="shared" si="42"/>
        <v/>
      </c>
      <c r="Z283" s="2"/>
      <c r="AA283" s="2">
        <v>822</v>
      </c>
      <c r="AB283" s="2">
        <v>256</v>
      </c>
      <c r="AC283" s="4" t="s">
        <v>389</v>
      </c>
      <c r="AD283" s="4">
        <v>32000</v>
      </c>
      <c r="AE283" s="2">
        <v>4094</v>
      </c>
      <c r="AF283" s="4" t="s">
        <v>456</v>
      </c>
    </row>
    <row r="284" spans="1:32" x14ac:dyDescent="0.2">
      <c r="A284" s="2" t="str">
        <f>IF(D284="Fixed",C284,C284&amp;"-"&amp;E284)</f>
        <v>C9300-48U-A-C9300-NM-4M</v>
      </c>
      <c r="B284" s="2" t="s">
        <v>134</v>
      </c>
      <c r="C284" s="2" t="s">
        <v>112</v>
      </c>
      <c r="D284" s="2" t="s">
        <v>129</v>
      </c>
      <c r="E284" s="2" t="s">
        <v>138</v>
      </c>
      <c r="F284" s="2" t="s">
        <v>352</v>
      </c>
      <c r="G284" s="2"/>
      <c r="H284" s="2"/>
      <c r="I284" s="2"/>
      <c r="J284" s="2">
        <v>48</v>
      </c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9" t="str">
        <f t="shared" si="38"/>
        <v/>
      </c>
      <c r="V284" s="4" t="str">
        <f t="shared" si="39"/>
        <v>4</v>
      </c>
      <c r="W284" s="4" t="str">
        <f t="shared" si="40"/>
        <v/>
      </c>
      <c r="X284" s="4" t="str">
        <f t="shared" si="41"/>
        <v/>
      </c>
      <c r="Y284" s="4" t="str">
        <f t="shared" si="42"/>
        <v/>
      </c>
      <c r="Z284" s="2"/>
      <c r="AA284" s="2">
        <v>822</v>
      </c>
      <c r="AB284" s="2">
        <v>256</v>
      </c>
      <c r="AC284" s="4" t="s">
        <v>389</v>
      </c>
      <c r="AD284" s="4">
        <v>32000</v>
      </c>
      <c r="AE284" s="2">
        <v>4094</v>
      </c>
      <c r="AF284" s="4" t="s">
        <v>456</v>
      </c>
    </row>
    <row r="285" spans="1:32" x14ac:dyDescent="0.2">
      <c r="A285" s="2" t="str">
        <f t="shared" ref="A285:A337" si="45">IF(D285="Fixed",C285,C285&amp;"-"&amp;E285)</f>
        <v>C9300-48U-A-C9300-NM-8X</v>
      </c>
      <c r="B285" s="2" t="s">
        <v>134</v>
      </c>
      <c r="C285" s="2" t="s">
        <v>112</v>
      </c>
      <c r="D285" s="2" t="s">
        <v>129</v>
      </c>
      <c r="E285" s="2" t="s">
        <v>139</v>
      </c>
      <c r="F285" s="2" t="s">
        <v>352</v>
      </c>
      <c r="G285" s="2"/>
      <c r="H285" s="2"/>
      <c r="I285" s="2"/>
      <c r="J285" s="2">
        <v>48</v>
      </c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9" t="str">
        <f t="shared" si="38"/>
        <v/>
      </c>
      <c r="V285" s="4" t="str">
        <f t="shared" si="39"/>
        <v/>
      </c>
      <c r="W285" s="4" t="str">
        <f t="shared" si="40"/>
        <v>8</v>
      </c>
      <c r="X285" s="4" t="str">
        <f t="shared" si="41"/>
        <v/>
      </c>
      <c r="Y285" s="4" t="str">
        <f t="shared" si="42"/>
        <v/>
      </c>
      <c r="Z285" s="2"/>
      <c r="AA285" s="2">
        <v>822</v>
      </c>
      <c r="AB285" s="2">
        <v>256</v>
      </c>
      <c r="AC285" s="4" t="s">
        <v>389</v>
      </c>
      <c r="AD285" s="4">
        <v>32000</v>
      </c>
      <c r="AE285" s="2">
        <v>4094</v>
      </c>
      <c r="AF285" s="4" t="s">
        <v>456</v>
      </c>
    </row>
    <row r="286" spans="1:32" x14ac:dyDescent="0.2">
      <c r="A286" s="2" t="str">
        <f t="shared" si="45"/>
        <v>C9300-48U-A-C9300-NM-2Q</v>
      </c>
      <c r="B286" s="2" t="s">
        <v>134</v>
      </c>
      <c r="C286" s="2" t="s">
        <v>112</v>
      </c>
      <c r="D286" s="2" t="s">
        <v>129</v>
      </c>
      <c r="E286" s="2" t="s">
        <v>140</v>
      </c>
      <c r="F286" s="2" t="s">
        <v>352</v>
      </c>
      <c r="G286" s="2"/>
      <c r="H286" s="2"/>
      <c r="I286" s="2"/>
      <c r="J286" s="2">
        <v>48</v>
      </c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9" t="str">
        <f t="shared" si="38"/>
        <v/>
      </c>
      <c r="V286" s="4" t="str">
        <f t="shared" si="39"/>
        <v/>
      </c>
      <c r="W286" s="4" t="str">
        <f t="shared" si="40"/>
        <v/>
      </c>
      <c r="X286" s="4" t="str">
        <f t="shared" si="41"/>
        <v/>
      </c>
      <c r="Y286" s="4" t="str">
        <f t="shared" si="42"/>
        <v>2</v>
      </c>
      <c r="Z286" s="2"/>
      <c r="AA286" s="2">
        <v>822</v>
      </c>
      <c r="AB286" s="2">
        <v>256</v>
      </c>
      <c r="AC286" s="4" t="s">
        <v>389</v>
      </c>
      <c r="AD286" s="4">
        <v>32000</v>
      </c>
      <c r="AE286" s="2">
        <v>4094</v>
      </c>
      <c r="AF286" s="4" t="s">
        <v>456</v>
      </c>
    </row>
    <row r="287" spans="1:32" x14ac:dyDescent="0.2">
      <c r="A287" s="2" t="str">
        <f t="shared" si="45"/>
        <v>C9300-48U-A-C9300-NM-2Y</v>
      </c>
      <c r="B287" s="2" t="s">
        <v>134</v>
      </c>
      <c r="C287" s="2" t="s">
        <v>112</v>
      </c>
      <c r="D287" s="2" t="s">
        <v>129</v>
      </c>
      <c r="E287" s="2" t="s">
        <v>141</v>
      </c>
      <c r="F287" s="2" t="s">
        <v>352</v>
      </c>
      <c r="G287" s="2"/>
      <c r="H287" s="2"/>
      <c r="I287" s="2"/>
      <c r="J287" s="2">
        <v>48</v>
      </c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9" t="str">
        <f t="shared" si="38"/>
        <v/>
      </c>
      <c r="V287" s="4" t="str">
        <f t="shared" si="39"/>
        <v/>
      </c>
      <c r="W287" s="4" t="str">
        <f t="shared" si="40"/>
        <v/>
      </c>
      <c r="X287" s="4" t="str">
        <f t="shared" si="41"/>
        <v>2</v>
      </c>
      <c r="Y287" s="4" t="str">
        <f t="shared" si="42"/>
        <v/>
      </c>
      <c r="Z287" s="2"/>
      <c r="AA287" s="2">
        <v>822</v>
      </c>
      <c r="AB287" s="2">
        <v>256</v>
      </c>
      <c r="AC287" s="4" t="s">
        <v>389</v>
      </c>
      <c r="AD287" s="4">
        <v>32000</v>
      </c>
      <c r="AE287" s="2">
        <v>4094</v>
      </c>
      <c r="AF287" s="4" t="s">
        <v>456</v>
      </c>
    </row>
    <row r="288" spans="1:32" x14ac:dyDescent="0.2">
      <c r="A288" s="2" t="str">
        <f t="shared" si="45"/>
        <v>C9300-24UX-A-C9300-NM-4G</v>
      </c>
      <c r="B288" s="2" t="s">
        <v>134</v>
      </c>
      <c r="C288" s="2" t="s">
        <v>109</v>
      </c>
      <c r="D288" s="2" t="s">
        <v>129</v>
      </c>
      <c r="E288" s="2" t="s">
        <v>137</v>
      </c>
      <c r="F288" s="2" t="s">
        <v>352</v>
      </c>
      <c r="G288" s="2"/>
      <c r="H288" s="2"/>
      <c r="I288" s="2"/>
      <c r="J288" s="2"/>
      <c r="K288" s="2"/>
      <c r="L288" s="2"/>
      <c r="M288" s="2"/>
      <c r="N288" s="2"/>
      <c r="O288" s="2">
        <v>24</v>
      </c>
      <c r="P288" s="2"/>
      <c r="Q288" s="2"/>
      <c r="R288" s="2"/>
      <c r="S288" s="2"/>
      <c r="T288" s="2"/>
      <c r="U288" s="29" t="str">
        <f t="shared" si="38"/>
        <v>4</v>
      </c>
      <c r="V288" s="4" t="str">
        <f t="shared" si="39"/>
        <v/>
      </c>
      <c r="W288" s="4" t="str">
        <f t="shared" si="40"/>
        <v/>
      </c>
      <c r="X288" s="4" t="str">
        <f t="shared" si="41"/>
        <v/>
      </c>
      <c r="Y288" s="4" t="str">
        <f t="shared" si="42"/>
        <v/>
      </c>
      <c r="Z288" s="2"/>
      <c r="AA288" s="2">
        <v>560</v>
      </c>
      <c r="AB288" s="2">
        <v>640</v>
      </c>
      <c r="AC288" s="4" t="s">
        <v>389</v>
      </c>
      <c r="AD288" s="4">
        <v>32000</v>
      </c>
      <c r="AE288" s="2">
        <v>4094</v>
      </c>
      <c r="AF288" s="4" t="s">
        <v>456</v>
      </c>
    </row>
    <row r="289" spans="1:32" x14ac:dyDescent="0.2">
      <c r="A289" s="2" t="str">
        <f t="shared" si="45"/>
        <v>C9300-24UX-A-C9300-NM-4M</v>
      </c>
      <c r="B289" s="2" t="s">
        <v>134</v>
      </c>
      <c r="C289" s="2" t="s">
        <v>109</v>
      </c>
      <c r="D289" s="2" t="s">
        <v>129</v>
      </c>
      <c r="E289" s="2" t="s">
        <v>138</v>
      </c>
      <c r="F289" s="2" t="s">
        <v>352</v>
      </c>
      <c r="G289" s="2"/>
      <c r="H289" s="2"/>
      <c r="I289" s="2"/>
      <c r="J289" s="2"/>
      <c r="K289" s="2"/>
      <c r="L289" s="2"/>
      <c r="M289" s="2"/>
      <c r="N289" s="2"/>
      <c r="O289" s="2">
        <v>24</v>
      </c>
      <c r="P289" s="2"/>
      <c r="Q289" s="2"/>
      <c r="R289" s="2"/>
      <c r="S289" s="2"/>
      <c r="T289" s="2"/>
      <c r="U289" s="29" t="str">
        <f t="shared" si="38"/>
        <v/>
      </c>
      <c r="V289" s="4" t="str">
        <f t="shared" si="39"/>
        <v>4</v>
      </c>
      <c r="W289" s="4" t="str">
        <f t="shared" si="40"/>
        <v/>
      </c>
      <c r="X289" s="4" t="str">
        <f t="shared" si="41"/>
        <v/>
      </c>
      <c r="Y289" s="4" t="str">
        <f t="shared" si="42"/>
        <v/>
      </c>
      <c r="Z289" s="2"/>
      <c r="AA289" s="2">
        <v>560</v>
      </c>
      <c r="AB289" s="2">
        <v>640</v>
      </c>
      <c r="AC289" s="4" t="s">
        <v>389</v>
      </c>
      <c r="AD289" s="4">
        <v>32000</v>
      </c>
      <c r="AE289" s="2">
        <v>4094</v>
      </c>
      <c r="AF289" s="4" t="s">
        <v>456</v>
      </c>
    </row>
    <row r="290" spans="1:32" x14ac:dyDescent="0.2">
      <c r="A290" s="2" t="str">
        <f t="shared" si="45"/>
        <v>C9300-24UX-A-C9300-NM-8X</v>
      </c>
      <c r="B290" s="2" t="s">
        <v>134</v>
      </c>
      <c r="C290" s="2" t="s">
        <v>109</v>
      </c>
      <c r="D290" s="2" t="s">
        <v>129</v>
      </c>
      <c r="E290" s="2" t="s">
        <v>139</v>
      </c>
      <c r="F290" s="2" t="s">
        <v>352</v>
      </c>
      <c r="G290" s="2"/>
      <c r="H290" s="2"/>
      <c r="I290" s="2"/>
      <c r="J290" s="2"/>
      <c r="K290" s="2"/>
      <c r="L290" s="2"/>
      <c r="M290" s="2"/>
      <c r="N290" s="2"/>
      <c r="O290" s="2">
        <v>24</v>
      </c>
      <c r="P290" s="2"/>
      <c r="Q290" s="2"/>
      <c r="R290" s="2"/>
      <c r="S290" s="2"/>
      <c r="T290" s="2"/>
      <c r="U290" s="29" t="str">
        <f t="shared" si="38"/>
        <v/>
      </c>
      <c r="V290" s="4" t="str">
        <f t="shared" si="39"/>
        <v/>
      </c>
      <c r="W290" s="4" t="str">
        <f t="shared" si="40"/>
        <v>8</v>
      </c>
      <c r="X290" s="4" t="str">
        <f t="shared" si="41"/>
        <v/>
      </c>
      <c r="Y290" s="4" t="str">
        <f t="shared" si="42"/>
        <v/>
      </c>
      <c r="Z290" s="2"/>
      <c r="AA290" s="2">
        <v>560</v>
      </c>
      <c r="AB290" s="2">
        <v>640</v>
      </c>
      <c r="AC290" s="4" t="s">
        <v>389</v>
      </c>
      <c r="AD290" s="4">
        <v>32000</v>
      </c>
      <c r="AE290" s="2">
        <v>4094</v>
      </c>
      <c r="AF290" s="4" t="s">
        <v>456</v>
      </c>
    </row>
    <row r="291" spans="1:32" x14ac:dyDescent="0.2">
      <c r="A291" s="2" t="str">
        <f t="shared" si="45"/>
        <v>C9300-24UX-A-C9300-NM-2Q</v>
      </c>
      <c r="B291" s="2" t="s">
        <v>134</v>
      </c>
      <c r="C291" s="2" t="s">
        <v>109</v>
      </c>
      <c r="D291" s="2" t="s">
        <v>129</v>
      </c>
      <c r="E291" s="2" t="s">
        <v>140</v>
      </c>
      <c r="F291" s="2" t="s">
        <v>352</v>
      </c>
      <c r="G291" s="2"/>
      <c r="H291" s="2"/>
      <c r="I291" s="2"/>
      <c r="J291" s="2"/>
      <c r="K291" s="2"/>
      <c r="L291" s="2"/>
      <c r="M291" s="2"/>
      <c r="N291" s="2"/>
      <c r="O291" s="2">
        <v>24</v>
      </c>
      <c r="P291" s="2"/>
      <c r="Q291" s="2"/>
      <c r="R291" s="2"/>
      <c r="S291" s="2"/>
      <c r="T291" s="2"/>
      <c r="U291" s="29" t="str">
        <f t="shared" si="38"/>
        <v/>
      </c>
      <c r="V291" s="4" t="str">
        <f t="shared" si="39"/>
        <v/>
      </c>
      <c r="W291" s="4" t="str">
        <f t="shared" si="40"/>
        <v/>
      </c>
      <c r="X291" s="4" t="str">
        <f t="shared" si="41"/>
        <v/>
      </c>
      <c r="Y291" s="4" t="str">
        <f t="shared" si="42"/>
        <v>2</v>
      </c>
      <c r="Z291" s="2"/>
      <c r="AA291" s="2">
        <v>560</v>
      </c>
      <c r="AB291" s="2">
        <v>640</v>
      </c>
      <c r="AC291" s="4" t="s">
        <v>389</v>
      </c>
      <c r="AD291" s="4">
        <v>32000</v>
      </c>
      <c r="AE291" s="2">
        <v>4094</v>
      </c>
      <c r="AF291" s="4" t="s">
        <v>456</v>
      </c>
    </row>
    <row r="292" spans="1:32" x14ac:dyDescent="0.2">
      <c r="A292" s="2" t="str">
        <f t="shared" si="45"/>
        <v>C9300-24UX-A-C9300-NM-2Y</v>
      </c>
      <c r="B292" s="2" t="s">
        <v>134</v>
      </c>
      <c r="C292" s="2" t="s">
        <v>109</v>
      </c>
      <c r="D292" s="2" t="s">
        <v>129</v>
      </c>
      <c r="E292" s="2" t="s">
        <v>141</v>
      </c>
      <c r="F292" s="2" t="s">
        <v>352</v>
      </c>
      <c r="G292" s="2"/>
      <c r="H292" s="2"/>
      <c r="I292" s="2"/>
      <c r="J292" s="2"/>
      <c r="K292" s="2"/>
      <c r="L292" s="2"/>
      <c r="M292" s="2"/>
      <c r="N292" s="2"/>
      <c r="O292" s="2">
        <v>24</v>
      </c>
      <c r="P292" s="2"/>
      <c r="Q292" s="2"/>
      <c r="R292" s="2"/>
      <c r="S292" s="2"/>
      <c r="T292" s="2"/>
      <c r="U292" s="29" t="str">
        <f t="shared" si="38"/>
        <v/>
      </c>
      <c r="V292" s="4" t="str">
        <f t="shared" si="39"/>
        <v/>
      </c>
      <c r="W292" s="4" t="str">
        <f t="shared" si="40"/>
        <v/>
      </c>
      <c r="X292" s="4" t="str">
        <f t="shared" si="41"/>
        <v>2</v>
      </c>
      <c r="Y292" s="4" t="str">
        <f t="shared" si="42"/>
        <v/>
      </c>
      <c r="Z292" s="2"/>
      <c r="AA292" s="2">
        <v>560</v>
      </c>
      <c r="AB292" s="2">
        <v>640</v>
      </c>
      <c r="AC292" s="4" t="s">
        <v>389</v>
      </c>
      <c r="AD292" s="4">
        <v>32000</v>
      </c>
      <c r="AE292" s="2">
        <v>4094</v>
      </c>
      <c r="AF292" s="4" t="s">
        <v>456</v>
      </c>
    </row>
    <row r="293" spans="1:32" x14ac:dyDescent="0.2">
      <c r="A293" s="2" t="str">
        <f t="shared" si="45"/>
        <v>C9300-48UXM-A-C9300-NM-4G</v>
      </c>
      <c r="B293" s="2" t="s">
        <v>134</v>
      </c>
      <c r="C293" s="2" t="s">
        <v>114</v>
      </c>
      <c r="D293" s="2" t="s">
        <v>129</v>
      </c>
      <c r="E293" s="2" t="s">
        <v>137</v>
      </c>
      <c r="F293" s="2" t="s">
        <v>352</v>
      </c>
      <c r="G293" s="2"/>
      <c r="H293" s="2"/>
      <c r="I293" s="2"/>
      <c r="J293" s="2"/>
      <c r="K293" s="2"/>
      <c r="L293" s="2"/>
      <c r="M293" s="2">
        <v>36</v>
      </c>
      <c r="N293" s="2"/>
      <c r="O293" s="2">
        <v>12</v>
      </c>
      <c r="P293" s="2"/>
      <c r="Q293" s="2"/>
      <c r="R293" s="2"/>
      <c r="S293" s="2"/>
      <c r="T293" s="2"/>
      <c r="U293" s="29" t="str">
        <f t="shared" si="38"/>
        <v>4</v>
      </c>
      <c r="V293" s="4" t="str">
        <f t="shared" si="39"/>
        <v/>
      </c>
      <c r="W293" s="4" t="str">
        <f t="shared" si="40"/>
        <v/>
      </c>
      <c r="X293" s="4" t="str">
        <f t="shared" si="41"/>
        <v/>
      </c>
      <c r="Y293" s="4" t="str">
        <f t="shared" si="42"/>
        <v/>
      </c>
      <c r="Z293" s="2"/>
      <c r="AA293" s="2">
        <v>490</v>
      </c>
      <c r="AB293" s="2">
        <v>580</v>
      </c>
      <c r="AC293" s="4" t="s">
        <v>389</v>
      </c>
      <c r="AD293" s="4">
        <v>32000</v>
      </c>
      <c r="AE293" s="2">
        <v>4094</v>
      </c>
      <c r="AF293" s="4" t="s">
        <v>456</v>
      </c>
    </row>
    <row r="294" spans="1:32" x14ac:dyDescent="0.2">
      <c r="A294" s="2" t="str">
        <f t="shared" si="45"/>
        <v>C9300-48UXM-A-C9300-NM-4M</v>
      </c>
      <c r="B294" s="2" t="s">
        <v>134</v>
      </c>
      <c r="C294" s="2" t="s">
        <v>114</v>
      </c>
      <c r="D294" s="2" t="s">
        <v>129</v>
      </c>
      <c r="E294" s="2" t="s">
        <v>138</v>
      </c>
      <c r="F294" s="2" t="s">
        <v>352</v>
      </c>
      <c r="G294" s="2"/>
      <c r="H294" s="2"/>
      <c r="I294" s="2"/>
      <c r="J294" s="2"/>
      <c r="K294" s="2"/>
      <c r="L294" s="2"/>
      <c r="M294" s="2">
        <v>36</v>
      </c>
      <c r="N294" s="2"/>
      <c r="O294" s="2">
        <v>12</v>
      </c>
      <c r="P294" s="2"/>
      <c r="Q294" s="2"/>
      <c r="R294" s="2"/>
      <c r="S294" s="2"/>
      <c r="T294" s="2"/>
      <c r="U294" s="29" t="str">
        <f t="shared" si="38"/>
        <v/>
      </c>
      <c r="V294" s="4" t="str">
        <f t="shared" si="39"/>
        <v>4</v>
      </c>
      <c r="W294" s="4" t="str">
        <f t="shared" si="40"/>
        <v/>
      </c>
      <c r="X294" s="4" t="str">
        <f t="shared" si="41"/>
        <v/>
      </c>
      <c r="Y294" s="4" t="str">
        <f t="shared" si="42"/>
        <v/>
      </c>
      <c r="Z294" s="2"/>
      <c r="AA294" s="2">
        <v>490</v>
      </c>
      <c r="AB294" s="2">
        <v>580</v>
      </c>
      <c r="AC294" s="4" t="s">
        <v>389</v>
      </c>
      <c r="AD294" s="4">
        <v>32000</v>
      </c>
      <c r="AE294" s="2">
        <v>4094</v>
      </c>
      <c r="AF294" s="4" t="s">
        <v>456</v>
      </c>
    </row>
    <row r="295" spans="1:32" x14ac:dyDescent="0.2">
      <c r="A295" s="2" t="str">
        <f t="shared" si="45"/>
        <v>C9300-48UXM-A-C9300-NM-8X</v>
      </c>
      <c r="B295" s="2" t="s">
        <v>134</v>
      </c>
      <c r="C295" s="2" t="s">
        <v>114</v>
      </c>
      <c r="D295" s="2" t="s">
        <v>129</v>
      </c>
      <c r="E295" s="2" t="s">
        <v>139</v>
      </c>
      <c r="F295" s="2" t="s">
        <v>352</v>
      </c>
      <c r="G295" s="2"/>
      <c r="H295" s="2"/>
      <c r="I295" s="2"/>
      <c r="J295" s="2"/>
      <c r="K295" s="2"/>
      <c r="L295" s="2"/>
      <c r="M295" s="2">
        <v>36</v>
      </c>
      <c r="N295" s="2"/>
      <c r="O295" s="2">
        <v>12</v>
      </c>
      <c r="P295" s="2"/>
      <c r="Q295" s="2"/>
      <c r="R295" s="2"/>
      <c r="S295" s="2"/>
      <c r="T295" s="2"/>
      <c r="U295" s="29" t="str">
        <f t="shared" si="38"/>
        <v/>
      </c>
      <c r="V295" s="4" t="str">
        <f t="shared" si="39"/>
        <v/>
      </c>
      <c r="W295" s="4" t="str">
        <f t="shared" si="40"/>
        <v>8</v>
      </c>
      <c r="X295" s="4" t="str">
        <f t="shared" si="41"/>
        <v/>
      </c>
      <c r="Y295" s="4" t="str">
        <f t="shared" si="42"/>
        <v/>
      </c>
      <c r="Z295" s="2"/>
      <c r="AA295" s="2">
        <v>490</v>
      </c>
      <c r="AB295" s="2">
        <v>580</v>
      </c>
      <c r="AC295" s="4" t="s">
        <v>389</v>
      </c>
      <c r="AD295" s="4">
        <v>32000</v>
      </c>
      <c r="AE295" s="2">
        <v>4094</v>
      </c>
      <c r="AF295" s="4" t="s">
        <v>456</v>
      </c>
    </row>
    <row r="296" spans="1:32" x14ac:dyDescent="0.2">
      <c r="A296" s="2" t="str">
        <f t="shared" si="45"/>
        <v>C9300-48UXM-A-C9300-NM-2Q</v>
      </c>
      <c r="B296" s="2" t="s">
        <v>134</v>
      </c>
      <c r="C296" s="2" t="s">
        <v>114</v>
      </c>
      <c r="D296" s="2" t="s">
        <v>129</v>
      </c>
      <c r="E296" s="2" t="s">
        <v>140</v>
      </c>
      <c r="F296" s="2" t="s">
        <v>352</v>
      </c>
      <c r="G296" s="2"/>
      <c r="H296" s="2"/>
      <c r="I296" s="2"/>
      <c r="J296" s="2"/>
      <c r="K296" s="2"/>
      <c r="L296" s="2"/>
      <c r="M296" s="2">
        <v>36</v>
      </c>
      <c r="N296" s="2"/>
      <c r="O296" s="2">
        <v>12</v>
      </c>
      <c r="P296" s="2"/>
      <c r="Q296" s="2"/>
      <c r="R296" s="2"/>
      <c r="S296" s="2"/>
      <c r="T296" s="2"/>
      <c r="U296" s="29" t="str">
        <f t="shared" si="38"/>
        <v/>
      </c>
      <c r="V296" s="4" t="str">
        <f t="shared" si="39"/>
        <v/>
      </c>
      <c r="W296" s="4" t="str">
        <f t="shared" si="40"/>
        <v/>
      </c>
      <c r="X296" s="4" t="str">
        <f t="shared" si="41"/>
        <v/>
      </c>
      <c r="Y296" s="4" t="str">
        <f t="shared" si="42"/>
        <v>2</v>
      </c>
      <c r="Z296" s="2"/>
      <c r="AA296" s="2">
        <v>490</v>
      </c>
      <c r="AB296" s="2">
        <v>580</v>
      </c>
      <c r="AC296" s="4" t="s">
        <v>389</v>
      </c>
      <c r="AD296" s="4">
        <v>32000</v>
      </c>
      <c r="AE296" s="2">
        <v>4094</v>
      </c>
      <c r="AF296" s="4" t="s">
        <v>456</v>
      </c>
    </row>
    <row r="297" spans="1:32" x14ac:dyDescent="0.2">
      <c r="A297" s="2" t="str">
        <f t="shared" si="45"/>
        <v>C9300-48UXM-A-C9300-NM-2Y</v>
      </c>
      <c r="B297" s="2" t="s">
        <v>134</v>
      </c>
      <c r="C297" s="2" t="s">
        <v>114</v>
      </c>
      <c r="D297" s="2" t="s">
        <v>129</v>
      </c>
      <c r="E297" s="2" t="s">
        <v>141</v>
      </c>
      <c r="F297" s="2" t="s">
        <v>352</v>
      </c>
      <c r="G297" s="2"/>
      <c r="H297" s="2"/>
      <c r="I297" s="2"/>
      <c r="J297" s="2"/>
      <c r="K297" s="2"/>
      <c r="L297" s="2"/>
      <c r="M297" s="2">
        <v>36</v>
      </c>
      <c r="N297" s="2"/>
      <c r="O297" s="2">
        <v>12</v>
      </c>
      <c r="P297" s="2"/>
      <c r="Q297" s="2"/>
      <c r="R297" s="2"/>
      <c r="S297" s="2"/>
      <c r="T297" s="2"/>
      <c r="U297" s="29" t="str">
        <f t="shared" si="38"/>
        <v/>
      </c>
      <c r="V297" s="4" t="str">
        <f t="shared" si="39"/>
        <v/>
      </c>
      <c r="W297" s="4" t="str">
        <f t="shared" si="40"/>
        <v/>
      </c>
      <c r="X297" s="4" t="str">
        <f t="shared" si="41"/>
        <v>2</v>
      </c>
      <c r="Y297" s="4" t="str">
        <f t="shared" si="42"/>
        <v/>
      </c>
      <c r="Z297" s="2"/>
      <c r="AA297" s="2">
        <v>490</v>
      </c>
      <c r="AB297" s="2">
        <v>580</v>
      </c>
      <c r="AC297" s="4" t="s">
        <v>389</v>
      </c>
      <c r="AD297" s="4">
        <v>32000</v>
      </c>
      <c r="AE297" s="2">
        <v>4094</v>
      </c>
      <c r="AF297" s="4" t="s">
        <v>456</v>
      </c>
    </row>
    <row r="298" spans="1:32" x14ac:dyDescent="0.2">
      <c r="A298" s="2" t="str">
        <f t="shared" si="45"/>
        <v>C9300-48UN-A-C9300-NM-4G</v>
      </c>
      <c r="B298" s="2" t="s">
        <v>134</v>
      </c>
      <c r="C298" s="2" t="s">
        <v>113</v>
      </c>
      <c r="D298" s="2" t="s">
        <v>129</v>
      </c>
      <c r="E298" s="2" t="s">
        <v>137</v>
      </c>
      <c r="F298" s="2" t="s">
        <v>352</v>
      </c>
      <c r="G298" s="2"/>
      <c r="H298" s="2"/>
      <c r="I298" s="2"/>
      <c r="J298" s="2"/>
      <c r="K298" s="2"/>
      <c r="L298" s="2"/>
      <c r="M298" s="2"/>
      <c r="N298" s="2"/>
      <c r="O298" s="2">
        <v>48</v>
      </c>
      <c r="P298" s="2"/>
      <c r="Q298" s="2"/>
      <c r="R298" s="2"/>
      <c r="S298" s="2"/>
      <c r="T298" s="2"/>
      <c r="U298" s="29" t="str">
        <f t="shared" si="38"/>
        <v>4</v>
      </c>
      <c r="V298" s="4" t="str">
        <f t="shared" si="39"/>
        <v/>
      </c>
      <c r="W298" s="4" t="str">
        <f t="shared" si="40"/>
        <v/>
      </c>
      <c r="X298" s="4" t="str">
        <f t="shared" si="41"/>
        <v/>
      </c>
      <c r="Y298" s="4" t="str">
        <f t="shared" si="42"/>
        <v/>
      </c>
      <c r="Z298" s="2"/>
      <c r="AA298" s="2">
        <v>645</v>
      </c>
      <c r="AB298" s="2">
        <v>640</v>
      </c>
      <c r="AC298" s="4" t="s">
        <v>389</v>
      </c>
      <c r="AD298" s="4">
        <v>32000</v>
      </c>
      <c r="AE298" s="2">
        <v>4094</v>
      </c>
      <c r="AF298" s="4" t="s">
        <v>456</v>
      </c>
    </row>
    <row r="299" spans="1:32" x14ac:dyDescent="0.2">
      <c r="A299" s="2" t="str">
        <f t="shared" si="45"/>
        <v>C9300-48UN-A-C9300-NM-4M</v>
      </c>
      <c r="B299" s="2" t="s">
        <v>134</v>
      </c>
      <c r="C299" s="2" t="s">
        <v>113</v>
      </c>
      <c r="D299" s="2" t="s">
        <v>129</v>
      </c>
      <c r="E299" s="2" t="s">
        <v>138</v>
      </c>
      <c r="F299" s="2" t="s">
        <v>352</v>
      </c>
      <c r="G299" s="2"/>
      <c r="H299" s="2"/>
      <c r="I299" s="2"/>
      <c r="J299" s="2"/>
      <c r="K299" s="2"/>
      <c r="L299" s="2"/>
      <c r="M299" s="2"/>
      <c r="N299" s="2"/>
      <c r="O299" s="2">
        <v>48</v>
      </c>
      <c r="P299" s="2"/>
      <c r="Q299" s="2"/>
      <c r="R299" s="2"/>
      <c r="S299" s="2"/>
      <c r="T299" s="2"/>
      <c r="U299" s="29" t="str">
        <f t="shared" si="38"/>
        <v/>
      </c>
      <c r="V299" s="4" t="str">
        <f t="shared" si="39"/>
        <v>4</v>
      </c>
      <c r="W299" s="4" t="str">
        <f t="shared" si="40"/>
        <v/>
      </c>
      <c r="X299" s="4" t="str">
        <f t="shared" si="41"/>
        <v/>
      </c>
      <c r="Y299" s="4" t="str">
        <f t="shared" si="42"/>
        <v/>
      </c>
      <c r="Z299" s="2"/>
      <c r="AA299" s="2">
        <v>645</v>
      </c>
      <c r="AB299" s="2">
        <v>640</v>
      </c>
      <c r="AC299" s="4" t="s">
        <v>389</v>
      </c>
      <c r="AD299" s="4">
        <v>32000</v>
      </c>
      <c r="AE299" s="2">
        <v>4094</v>
      </c>
      <c r="AF299" s="4" t="s">
        <v>456</v>
      </c>
    </row>
    <row r="300" spans="1:32" x14ac:dyDescent="0.2">
      <c r="A300" s="2" t="str">
        <f t="shared" si="45"/>
        <v>C9300-48UN-A-C9300-NM-8X</v>
      </c>
      <c r="B300" s="2" t="s">
        <v>134</v>
      </c>
      <c r="C300" s="2" t="s">
        <v>113</v>
      </c>
      <c r="D300" s="2" t="s">
        <v>129</v>
      </c>
      <c r="E300" s="2" t="s">
        <v>139</v>
      </c>
      <c r="F300" s="2" t="s">
        <v>352</v>
      </c>
      <c r="G300" s="2"/>
      <c r="H300" s="2"/>
      <c r="I300" s="2"/>
      <c r="J300" s="2"/>
      <c r="K300" s="2"/>
      <c r="L300" s="2"/>
      <c r="M300" s="2"/>
      <c r="N300" s="2"/>
      <c r="O300" s="2">
        <v>48</v>
      </c>
      <c r="P300" s="2"/>
      <c r="Q300" s="2"/>
      <c r="R300" s="2"/>
      <c r="S300" s="2"/>
      <c r="T300" s="2"/>
      <c r="U300" s="29" t="str">
        <f t="shared" si="38"/>
        <v/>
      </c>
      <c r="V300" s="4" t="str">
        <f t="shared" si="39"/>
        <v/>
      </c>
      <c r="W300" s="4" t="str">
        <f t="shared" si="40"/>
        <v>8</v>
      </c>
      <c r="X300" s="4" t="str">
        <f t="shared" si="41"/>
        <v/>
      </c>
      <c r="Y300" s="4" t="str">
        <f t="shared" si="42"/>
        <v/>
      </c>
      <c r="Z300" s="2"/>
      <c r="AA300" s="2">
        <v>645</v>
      </c>
      <c r="AB300" s="2">
        <v>640</v>
      </c>
      <c r="AC300" s="4" t="s">
        <v>389</v>
      </c>
      <c r="AD300" s="4">
        <v>32000</v>
      </c>
      <c r="AE300" s="2">
        <v>4094</v>
      </c>
      <c r="AF300" s="4" t="s">
        <v>456</v>
      </c>
    </row>
    <row r="301" spans="1:32" x14ac:dyDescent="0.2">
      <c r="A301" s="2" t="str">
        <f t="shared" si="45"/>
        <v>C9300-48UN-A-C9300-NM-2Q</v>
      </c>
      <c r="B301" s="2" t="s">
        <v>134</v>
      </c>
      <c r="C301" s="2" t="s">
        <v>113</v>
      </c>
      <c r="D301" s="2" t="s">
        <v>129</v>
      </c>
      <c r="E301" s="2" t="s">
        <v>140</v>
      </c>
      <c r="F301" s="2" t="s">
        <v>352</v>
      </c>
      <c r="G301" s="2"/>
      <c r="H301" s="2"/>
      <c r="I301" s="2"/>
      <c r="J301" s="2"/>
      <c r="K301" s="2"/>
      <c r="L301" s="2"/>
      <c r="M301" s="2"/>
      <c r="N301" s="2"/>
      <c r="O301" s="2">
        <v>48</v>
      </c>
      <c r="P301" s="2"/>
      <c r="Q301" s="2"/>
      <c r="R301" s="2"/>
      <c r="S301" s="2"/>
      <c r="T301" s="2"/>
      <c r="U301" s="29" t="str">
        <f t="shared" si="38"/>
        <v/>
      </c>
      <c r="V301" s="4" t="str">
        <f t="shared" si="39"/>
        <v/>
      </c>
      <c r="W301" s="4" t="str">
        <f t="shared" si="40"/>
        <v/>
      </c>
      <c r="X301" s="4" t="str">
        <f t="shared" si="41"/>
        <v/>
      </c>
      <c r="Y301" s="4" t="str">
        <f t="shared" si="42"/>
        <v>2</v>
      </c>
      <c r="Z301" s="2"/>
      <c r="AA301" s="2">
        <v>645</v>
      </c>
      <c r="AB301" s="2">
        <v>640</v>
      </c>
      <c r="AC301" s="4" t="s">
        <v>389</v>
      </c>
      <c r="AD301" s="4">
        <v>32000</v>
      </c>
      <c r="AE301" s="2">
        <v>4094</v>
      </c>
      <c r="AF301" s="4" t="s">
        <v>456</v>
      </c>
    </row>
    <row r="302" spans="1:32" x14ac:dyDescent="0.2">
      <c r="A302" s="2" t="str">
        <f t="shared" si="45"/>
        <v>C9300-48UN-A-C9300-NM-2Y</v>
      </c>
      <c r="B302" s="2" t="s">
        <v>134</v>
      </c>
      <c r="C302" s="2" t="s">
        <v>113</v>
      </c>
      <c r="D302" s="2" t="s">
        <v>129</v>
      </c>
      <c r="E302" s="2" t="s">
        <v>141</v>
      </c>
      <c r="F302" s="2" t="s">
        <v>352</v>
      </c>
      <c r="G302" s="2"/>
      <c r="H302" s="2"/>
      <c r="I302" s="2"/>
      <c r="J302" s="2"/>
      <c r="K302" s="2"/>
      <c r="L302" s="2"/>
      <c r="M302" s="2"/>
      <c r="N302" s="2"/>
      <c r="O302" s="2">
        <v>48</v>
      </c>
      <c r="P302" s="2"/>
      <c r="Q302" s="2"/>
      <c r="R302" s="2"/>
      <c r="S302" s="2"/>
      <c r="T302" s="2"/>
      <c r="U302" s="29" t="str">
        <f t="shared" si="38"/>
        <v/>
      </c>
      <c r="V302" s="4" t="str">
        <f t="shared" si="39"/>
        <v/>
      </c>
      <c r="W302" s="4" t="str">
        <f t="shared" si="40"/>
        <v/>
      </c>
      <c r="X302" s="4" t="str">
        <f t="shared" si="41"/>
        <v>2</v>
      </c>
      <c r="Y302" s="4" t="str">
        <f t="shared" si="42"/>
        <v/>
      </c>
      <c r="Z302" s="2"/>
      <c r="AA302" s="2">
        <v>645</v>
      </c>
      <c r="AB302" s="2">
        <v>640</v>
      </c>
      <c r="AC302" s="4" t="s">
        <v>389</v>
      </c>
      <c r="AD302" s="4">
        <v>32000</v>
      </c>
      <c r="AE302" s="2">
        <v>4094</v>
      </c>
      <c r="AF302" s="4" t="s">
        <v>456</v>
      </c>
    </row>
    <row r="303" spans="1:32" x14ac:dyDescent="0.2">
      <c r="A303" s="2" t="str">
        <f t="shared" si="45"/>
        <v>C9300-24UB-A-C9300-NM-4G</v>
      </c>
      <c r="B303" s="2" t="s">
        <v>134</v>
      </c>
      <c r="C303" s="2" t="s">
        <v>496</v>
      </c>
      <c r="D303" s="2" t="s">
        <v>129</v>
      </c>
      <c r="E303" s="2" t="s">
        <v>137</v>
      </c>
      <c r="F303" s="2" t="s">
        <v>352</v>
      </c>
      <c r="G303" s="2"/>
      <c r="H303" s="2"/>
      <c r="I303" s="2"/>
      <c r="J303" s="2">
        <v>24</v>
      </c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9" t="str">
        <f t="shared" si="38"/>
        <v>4</v>
      </c>
      <c r="V303" s="4" t="str">
        <f t="shared" si="39"/>
        <v/>
      </c>
      <c r="W303" s="4" t="str">
        <f t="shared" si="40"/>
        <v/>
      </c>
      <c r="X303" s="4" t="str">
        <f t="shared" si="41"/>
        <v/>
      </c>
      <c r="Y303" s="4" t="str">
        <f t="shared" si="42"/>
        <v/>
      </c>
      <c r="Z303" s="2"/>
      <c r="AA303" s="2">
        <v>830</v>
      </c>
      <c r="AB303" s="4">
        <v>208</v>
      </c>
      <c r="AC303" s="4" t="s">
        <v>389</v>
      </c>
      <c r="AD303" s="4">
        <v>64000</v>
      </c>
      <c r="AE303" s="2">
        <v>4094</v>
      </c>
      <c r="AF303" s="4" t="s">
        <v>456</v>
      </c>
    </row>
    <row r="304" spans="1:32" x14ac:dyDescent="0.2">
      <c r="A304" s="2" t="str">
        <f t="shared" si="45"/>
        <v>C9300-24UB-A-C9300-NM-4M</v>
      </c>
      <c r="B304" s="2" t="s">
        <v>134</v>
      </c>
      <c r="C304" s="2" t="s">
        <v>496</v>
      </c>
      <c r="D304" s="2" t="s">
        <v>129</v>
      </c>
      <c r="E304" s="2" t="s">
        <v>138</v>
      </c>
      <c r="F304" s="2" t="s">
        <v>352</v>
      </c>
      <c r="G304" s="2"/>
      <c r="H304" s="2"/>
      <c r="I304" s="2"/>
      <c r="J304" s="2">
        <v>24</v>
      </c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9" t="str">
        <f t="shared" si="38"/>
        <v/>
      </c>
      <c r="V304" s="4" t="str">
        <f t="shared" si="39"/>
        <v>4</v>
      </c>
      <c r="W304" s="4" t="str">
        <f t="shared" si="40"/>
        <v/>
      </c>
      <c r="X304" s="4" t="str">
        <f t="shared" si="41"/>
        <v/>
      </c>
      <c r="Y304" s="4" t="str">
        <f t="shared" si="42"/>
        <v/>
      </c>
      <c r="Z304" s="2"/>
      <c r="AA304" s="2">
        <v>830</v>
      </c>
      <c r="AB304" s="2">
        <v>208</v>
      </c>
      <c r="AC304" s="4" t="s">
        <v>389</v>
      </c>
      <c r="AD304" s="4">
        <v>64000</v>
      </c>
      <c r="AE304" s="2">
        <v>4094</v>
      </c>
      <c r="AF304" s="4" t="s">
        <v>456</v>
      </c>
    </row>
    <row r="305" spans="1:32" x14ac:dyDescent="0.2">
      <c r="A305" s="2" t="str">
        <f t="shared" si="45"/>
        <v>C9300-24UB-A-C9300-NM-8X</v>
      </c>
      <c r="B305" s="2" t="s">
        <v>134</v>
      </c>
      <c r="C305" s="2" t="s">
        <v>496</v>
      </c>
      <c r="D305" s="2" t="s">
        <v>129</v>
      </c>
      <c r="E305" s="2" t="s">
        <v>139</v>
      </c>
      <c r="F305" s="2" t="s">
        <v>352</v>
      </c>
      <c r="G305" s="2"/>
      <c r="H305" s="2"/>
      <c r="I305" s="2"/>
      <c r="J305" s="2">
        <v>24</v>
      </c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9" t="str">
        <f t="shared" si="38"/>
        <v/>
      </c>
      <c r="V305" s="4" t="str">
        <f t="shared" si="39"/>
        <v/>
      </c>
      <c r="W305" s="4" t="str">
        <f t="shared" si="40"/>
        <v>8</v>
      </c>
      <c r="X305" s="4" t="str">
        <f t="shared" si="41"/>
        <v/>
      </c>
      <c r="Y305" s="4" t="str">
        <f t="shared" si="42"/>
        <v/>
      </c>
      <c r="Z305" s="2"/>
      <c r="AA305" s="2">
        <v>830</v>
      </c>
      <c r="AB305" s="2">
        <v>208</v>
      </c>
      <c r="AC305" s="4" t="s">
        <v>389</v>
      </c>
      <c r="AD305" s="4">
        <v>64000</v>
      </c>
      <c r="AE305" s="2">
        <v>4094</v>
      </c>
      <c r="AF305" s="4" t="s">
        <v>456</v>
      </c>
    </row>
    <row r="306" spans="1:32" x14ac:dyDescent="0.2">
      <c r="A306" s="2" t="str">
        <f t="shared" si="45"/>
        <v>C9300-24UB-A-C9300-NM-2Q</v>
      </c>
      <c r="B306" s="2" t="s">
        <v>134</v>
      </c>
      <c r="C306" s="2" t="s">
        <v>496</v>
      </c>
      <c r="D306" s="2" t="s">
        <v>129</v>
      </c>
      <c r="E306" s="2" t="s">
        <v>140</v>
      </c>
      <c r="F306" s="2" t="s">
        <v>352</v>
      </c>
      <c r="G306" s="2"/>
      <c r="H306" s="2"/>
      <c r="I306" s="2"/>
      <c r="J306" s="2">
        <v>24</v>
      </c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9" t="str">
        <f t="shared" si="38"/>
        <v/>
      </c>
      <c r="V306" s="4" t="str">
        <f t="shared" si="39"/>
        <v/>
      </c>
      <c r="W306" s="4" t="str">
        <f t="shared" si="40"/>
        <v/>
      </c>
      <c r="X306" s="4" t="str">
        <f t="shared" si="41"/>
        <v/>
      </c>
      <c r="Y306" s="4" t="str">
        <f t="shared" si="42"/>
        <v>2</v>
      </c>
      <c r="Z306" s="2"/>
      <c r="AA306" s="2">
        <v>830</v>
      </c>
      <c r="AB306" s="2">
        <v>208</v>
      </c>
      <c r="AC306" s="4" t="s">
        <v>389</v>
      </c>
      <c r="AD306" s="4">
        <v>64000</v>
      </c>
      <c r="AE306" s="2">
        <v>4094</v>
      </c>
      <c r="AF306" s="4" t="s">
        <v>456</v>
      </c>
    </row>
    <row r="307" spans="1:32" x14ac:dyDescent="0.2">
      <c r="A307" s="2" t="str">
        <f t="shared" si="45"/>
        <v>C9300-24UB-A-C9300-NM-2Y</v>
      </c>
      <c r="B307" s="2" t="s">
        <v>134</v>
      </c>
      <c r="C307" s="2" t="s">
        <v>496</v>
      </c>
      <c r="D307" s="2" t="s">
        <v>129</v>
      </c>
      <c r="E307" s="2" t="s">
        <v>141</v>
      </c>
      <c r="F307" s="2" t="s">
        <v>352</v>
      </c>
      <c r="G307" s="2"/>
      <c r="H307" s="2"/>
      <c r="I307" s="2"/>
      <c r="J307" s="2">
        <v>24</v>
      </c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9" t="str">
        <f t="shared" si="38"/>
        <v/>
      </c>
      <c r="V307" s="4" t="str">
        <f t="shared" si="39"/>
        <v/>
      </c>
      <c r="W307" s="4" t="str">
        <f t="shared" si="40"/>
        <v/>
      </c>
      <c r="X307" s="4" t="str">
        <f t="shared" si="41"/>
        <v>2</v>
      </c>
      <c r="Y307" s="4" t="str">
        <f t="shared" si="42"/>
        <v/>
      </c>
      <c r="Z307" s="2"/>
      <c r="AA307" s="2">
        <v>830</v>
      </c>
      <c r="AB307" s="2">
        <v>208</v>
      </c>
      <c r="AC307" s="4" t="s">
        <v>389</v>
      </c>
      <c r="AD307" s="4">
        <v>64000</v>
      </c>
      <c r="AE307" s="2">
        <v>4094</v>
      </c>
      <c r="AF307" s="4" t="s">
        <v>456</v>
      </c>
    </row>
    <row r="308" spans="1:32" x14ac:dyDescent="0.2">
      <c r="A308" s="2" t="str">
        <f t="shared" si="45"/>
        <v>C9300-24UXB-A-C9300-NM-4G</v>
      </c>
      <c r="B308" s="2" t="s">
        <v>134</v>
      </c>
      <c r="C308" s="2" t="s">
        <v>497</v>
      </c>
      <c r="D308" s="2" t="s">
        <v>129</v>
      </c>
      <c r="E308" s="2" t="s">
        <v>137</v>
      </c>
      <c r="F308" s="2" t="s">
        <v>352</v>
      </c>
      <c r="G308" s="2"/>
      <c r="H308" s="2"/>
      <c r="I308" s="2"/>
      <c r="J308" s="2"/>
      <c r="K308" s="2"/>
      <c r="L308" s="2"/>
      <c r="M308" s="2"/>
      <c r="N308" s="2"/>
      <c r="O308" s="2">
        <v>24</v>
      </c>
      <c r="P308" s="2"/>
      <c r="Q308" s="2"/>
      <c r="R308" s="2"/>
      <c r="S308" s="2"/>
      <c r="T308" s="2"/>
      <c r="U308" s="29" t="str">
        <f t="shared" si="38"/>
        <v>4</v>
      </c>
      <c r="V308" s="4" t="str">
        <f t="shared" si="39"/>
        <v/>
      </c>
      <c r="W308" s="4" t="str">
        <f t="shared" si="40"/>
        <v/>
      </c>
      <c r="X308" s="4" t="str">
        <f t="shared" si="41"/>
        <v/>
      </c>
      <c r="Y308" s="4" t="str">
        <f t="shared" si="42"/>
        <v/>
      </c>
      <c r="Z308" s="2"/>
      <c r="AA308" s="2">
        <v>560</v>
      </c>
      <c r="AB308" s="2">
        <v>640</v>
      </c>
      <c r="AC308" s="4" t="s">
        <v>389</v>
      </c>
      <c r="AD308" s="4">
        <v>64000</v>
      </c>
      <c r="AE308" s="2">
        <v>4094</v>
      </c>
      <c r="AF308" s="4" t="s">
        <v>456</v>
      </c>
    </row>
    <row r="309" spans="1:32" x14ac:dyDescent="0.2">
      <c r="A309" s="2" t="str">
        <f t="shared" si="45"/>
        <v>C9300-24UXB-A-C9300-NM-4M</v>
      </c>
      <c r="B309" s="2" t="s">
        <v>134</v>
      </c>
      <c r="C309" s="2" t="s">
        <v>497</v>
      </c>
      <c r="D309" s="2" t="s">
        <v>129</v>
      </c>
      <c r="E309" s="2" t="s">
        <v>138</v>
      </c>
      <c r="F309" s="2" t="s">
        <v>352</v>
      </c>
      <c r="G309" s="2"/>
      <c r="H309" s="2"/>
      <c r="I309" s="2"/>
      <c r="J309" s="2"/>
      <c r="K309" s="2"/>
      <c r="L309" s="2"/>
      <c r="M309" s="2"/>
      <c r="N309" s="2"/>
      <c r="O309" s="2">
        <v>24</v>
      </c>
      <c r="P309" s="2"/>
      <c r="Q309" s="2"/>
      <c r="R309" s="2"/>
      <c r="S309" s="2"/>
      <c r="T309" s="2"/>
      <c r="U309" s="29" t="str">
        <f t="shared" si="38"/>
        <v/>
      </c>
      <c r="V309" s="4" t="str">
        <f t="shared" si="39"/>
        <v>4</v>
      </c>
      <c r="W309" s="4" t="str">
        <f t="shared" si="40"/>
        <v/>
      </c>
      <c r="X309" s="4" t="str">
        <f t="shared" si="41"/>
        <v/>
      </c>
      <c r="Y309" s="4" t="str">
        <f t="shared" si="42"/>
        <v/>
      </c>
      <c r="Z309" s="2"/>
      <c r="AA309" s="2">
        <v>560</v>
      </c>
      <c r="AB309" s="2">
        <v>640</v>
      </c>
      <c r="AC309" s="4" t="s">
        <v>389</v>
      </c>
      <c r="AD309" s="4">
        <v>64000</v>
      </c>
      <c r="AE309" s="2">
        <v>4094</v>
      </c>
      <c r="AF309" s="4" t="s">
        <v>456</v>
      </c>
    </row>
    <row r="310" spans="1:32" x14ac:dyDescent="0.2">
      <c r="A310" s="2" t="str">
        <f t="shared" si="45"/>
        <v>C9300-24UXB-A-C9300-NM-8X</v>
      </c>
      <c r="B310" s="2" t="s">
        <v>134</v>
      </c>
      <c r="C310" s="2" t="s">
        <v>497</v>
      </c>
      <c r="D310" s="2" t="s">
        <v>129</v>
      </c>
      <c r="E310" s="2" t="s">
        <v>139</v>
      </c>
      <c r="F310" s="2" t="s">
        <v>352</v>
      </c>
      <c r="G310" s="2"/>
      <c r="H310" s="2"/>
      <c r="I310" s="2"/>
      <c r="J310" s="2"/>
      <c r="K310" s="2"/>
      <c r="L310" s="2"/>
      <c r="M310" s="2"/>
      <c r="N310" s="2"/>
      <c r="O310" s="2">
        <v>24</v>
      </c>
      <c r="P310" s="2"/>
      <c r="Q310" s="2"/>
      <c r="R310" s="2"/>
      <c r="S310" s="2"/>
      <c r="T310" s="2"/>
      <c r="U310" s="29" t="str">
        <f t="shared" si="38"/>
        <v/>
      </c>
      <c r="V310" s="4" t="str">
        <f t="shared" si="39"/>
        <v/>
      </c>
      <c r="W310" s="4" t="str">
        <f t="shared" si="40"/>
        <v>8</v>
      </c>
      <c r="X310" s="4" t="str">
        <f t="shared" si="41"/>
        <v/>
      </c>
      <c r="Y310" s="4" t="str">
        <f t="shared" si="42"/>
        <v/>
      </c>
      <c r="Z310" s="2"/>
      <c r="AA310" s="2">
        <v>560</v>
      </c>
      <c r="AB310" s="2">
        <v>640</v>
      </c>
      <c r="AC310" s="4" t="s">
        <v>389</v>
      </c>
      <c r="AD310" s="4">
        <v>64000</v>
      </c>
      <c r="AE310" s="2">
        <v>4094</v>
      </c>
      <c r="AF310" s="4" t="s">
        <v>456</v>
      </c>
    </row>
    <row r="311" spans="1:32" x14ac:dyDescent="0.2">
      <c r="A311" s="2" t="str">
        <f t="shared" si="45"/>
        <v>C9300-24UXB-A-C9300-NM-2Q</v>
      </c>
      <c r="B311" s="2" t="s">
        <v>134</v>
      </c>
      <c r="C311" s="2" t="s">
        <v>497</v>
      </c>
      <c r="D311" s="2" t="s">
        <v>129</v>
      </c>
      <c r="E311" s="2" t="s">
        <v>140</v>
      </c>
      <c r="F311" s="2" t="s">
        <v>352</v>
      </c>
      <c r="G311" s="2"/>
      <c r="H311" s="2"/>
      <c r="I311" s="2"/>
      <c r="J311" s="2"/>
      <c r="K311" s="2"/>
      <c r="L311" s="2"/>
      <c r="M311" s="2"/>
      <c r="N311" s="2"/>
      <c r="O311" s="2">
        <v>24</v>
      </c>
      <c r="P311" s="2"/>
      <c r="Q311" s="2"/>
      <c r="R311" s="2"/>
      <c r="S311" s="2"/>
      <c r="T311" s="2"/>
      <c r="U311" s="29" t="str">
        <f t="shared" si="38"/>
        <v/>
      </c>
      <c r="V311" s="4" t="str">
        <f t="shared" si="39"/>
        <v/>
      </c>
      <c r="W311" s="4" t="str">
        <f t="shared" si="40"/>
        <v/>
      </c>
      <c r="X311" s="4" t="str">
        <f t="shared" si="41"/>
        <v/>
      </c>
      <c r="Y311" s="4" t="str">
        <f t="shared" si="42"/>
        <v>2</v>
      </c>
      <c r="Z311" s="2"/>
      <c r="AA311" s="2">
        <v>560</v>
      </c>
      <c r="AB311" s="2">
        <v>640</v>
      </c>
      <c r="AC311" s="4" t="s">
        <v>389</v>
      </c>
      <c r="AD311" s="4">
        <v>64000</v>
      </c>
      <c r="AE311" s="2">
        <v>4094</v>
      </c>
      <c r="AF311" s="4" t="s">
        <v>456</v>
      </c>
    </row>
    <row r="312" spans="1:32" x14ac:dyDescent="0.2">
      <c r="A312" s="2" t="str">
        <f t="shared" si="45"/>
        <v>C9300-24UXB-A-C9300-NM-2Y</v>
      </c>
      <c r="B312" s="2" t="s">
        <v>134</v>
      </c>
      <c r="C312" s="2" t="s">
        <v>497</v>
      </c>
      <c r="D312" s="2" t="s">
        <v>129</v>
      </c>
      <c r="E312" s="2" t="s">
        <v>141</v>
      </c>
      <c r="F312" s="2" t="s">
        <v>352</v>
      </c>
      <c r="G312" s="2"/>
      <c r="H312" s="2"/>
      <c r="I312" s="2"/>
      <c r="J312" s="2"/>
      <c r="K312" s="2"/>
      <c r="L312" s="2"/>
      <c r="M312" s="2"/>
      <c r="N312" s="2"/>
      <c r="O312" s="2">
        <v>24</v>
      </c>
      <c r="P312" s="2"/>
      <c r="Q312" s="2"/>
      <c r="R312" s="2"/>
      <c r="S312" s="2"/>
      <c r="T312" s="2"/>
      <c r="U312" s="29" t="str">
        <f t="shared" si="38"/>
        <v/>
      </c>
      <c r="V312" s="4" t="str">
        <f t="shared" si="39"/>
        <v/>
      </c>
      <c r="W312" s="4" t="str">
        <f t="shared" si="40"/>
        <v/>
      </c>
      <c r="X312" s="4" t="str">
        <f t="shared" si="41"/>
        <v>2</v>
      </c>
      <c r="Y312" s="4" t="str">
        <f t="shared" si="42"/>
        <v/>
      </c>
      <c r="Z312" s="2"/>
      <c r="AA312" s="2">
        <v>560</v>
      </c>
      <c r="AB312" s="2">
        <v>640</v>
      </c>
      <c r="AC312" s="4" t="s">
        <v>389</v>
      </c>
      <c r="AD312" s="4">
        <v>64000</v>
      </c>
      <c r="AE312" s="2">
        <v>4094</v>
      </c>
      <c r="AF312" s="4" t="s">
        <v>456</v>
      </c>
    </row>
    <row r="313" spans="1:32" x14ac:dyDescent="0.2">
      <c r="A313" s="2" t="str">
        <f t="shared" si="45"/>
        <v>C9300-48UB-A-C9300-NM-4G</v>
      </c>
      <c r="B313" s="2" t="s">
        <v>134</v>
      </c>
      <c r="C313" s="2" t="s">
        <v>498</v>
      </c>
      <c r="D313" s="2" t="s">
        <v>129</v>
      </c>
      <c r="E313" s="2" t="s">
        <v>137</v>
      </c>
      <c r="F313" s="2" t="s">
        <v>352</v>
      </c>
      <c r="G313" s="2"/>
      <c r="H313" s="2"/>
      <c r="I313" s="2"/>
      <c r="J313" s="2">
        <v>48</v>
      </c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9" t="str">
        <f t="shared" si="38"/>
        <v>4</v>
      </c>
      <c r="V313" s="4" t="str">
        <f t="shared" si="39"/>
        <v/>
      </c>
      <c r="W313" s="4" t="str">
        <f t="shared" si="40"/>
        <v/>
      </c>
      <c r="X313" s="4" t="str">
        <f t="shared" si="41"/>
        <v/>
      </c>
      <c r="Y313" s="4" t="str">
        <f t="shared" si="42"/>
        <v/>
      </c>
      <c r="Z313" s="2"/>
      <c r="AA313" s="2">
        <v>822</v>
      </c>
      <c r="AB313" s="2">
        <v>256</v>
      </c>
      <c r="AC313" s="4" t="s">
        <v>389</v>
      </c>
      <c r="AD313" s="4">
        <v>64000</v>
      </c>
      <c r="AE313" s="2">
        <v>4094</v>
      </c>
      <c r="AF313" s="4" t="s">
        <v>456</v>
      </c>
    </row>
    <row r="314" spans="1:32" x14ac:dyDescent="0.2">
      <c r="A314" s="2" t="str">
        <f t="shared" si="45"/>
        <v>C9300-48UB-A-C9300-NM-4M</v>
      </c>
      <c r="B314" s="2" t="s">
        <v>134</v>
      </c>
      <c r="C314" s="2" t="s">
        <v>498</v>
      </c>
      <c r="D314" s="2" t="s">
        <v>129</v>
      </c>
      <c r="E314" s="2" t="s">
        <v>138</v>
      </c>
      <c r="F314" s="2" t="s">
        <v>352</v>
      </c>
      <c r="G314" s="2"/>
      <c r="H314" s="2"/>
      <c r="I314" s="2"/>
      <c r="J314" s="2">
        <v>48</v>
      </c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9" t="str">
        <f t="shared" si="38"/>
        <v/>
      </c>
      <c r="V314" s="4" t="str">
        <f t="shared" si="39"/>
        <v>4</v>
      </c>
      <c r="W314" s="4" t="str">
        <f t="shared" si="40"/>
        <v/>
      </c>
      <c r="X314" s="4" t="str">
        <f t="shared" si="41"/>
        <v/>
      </c>
      <c r="Y314" s="4" t="str">
        <f t="shared" si="42"/>
        <v/>
      </c>
      <c r="Z314" s="2"/>
      <c r="AA314" s="2">
        <v>822</v>
      </c>
      <c r="AB314" s="2">
        <v>256</v>
      </c>
      <c r="AC314" s="4" t="s">
        <v>389</v>
      </c>
      <c r="AD314" s="4">
        <v>64000</v>
      </c>
      <c r="AE314" s="2">
        <v>4094</v>
      </c>
      <c r="AF314" s="4" t="s">
        <v>456</v>
      </c>
    </row>
    <row r="315" spans="1:32" x14ac:dyDescent="0.2">
      <c r="A315" s="2" t="str">
        <f t="shared" si="45"/>
        <v>C9300-48UB-A-C9300-NM-8X</v>
      </c>
      <c r="B315" s="2" t="s">
        <v>134</v>
      </c>
      <c r="C315" s="2" t="s">
        <v>498</v>
      </c>
      <c r="D315" s="2" t="s">
        <v>129</v>
      </c>
      <c r="E315" s="2" t="s">
        <v>139</v>
      </c>
      <c r="F315" s="2" t="s">
        <v>352</v>
      </c>
      <c r="G315" s="2"/>
      <c r="H315" s="2"/>
      <c r="I315" s="2"/>
      <c r="J315" s="2">
        <v>48</v>
      </c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9" t="str">
        <f t="shared" si="38"/>
        <v/>
      </c>
      <c r="V315" s="4" t="str">
        <f t="shared" si="39"/>
        <v/>
      </c>
      <c r="W315" s="4" t="str">
        <f t="shared" si="40"/>
        <v>8</v>
      </c>
      <c r="X315" s="4" t="str">
        <f t="shared" si="41"/>
        <v/>
      </c>
      <c r="Y315" s="4" t="str">
        <f t="shared" si="42"/>
        <v/>
      </c>
      <c r="Z315" s="2"/>
      <c r="AA315" s="2">
        <v>822</v>
      </c>
      <c r="AB315" s="2">
        <v>256</v>
      </c>
      <c r="AC315" s="4" t="s">
        <v>389</v>
      </c>
      <c r="AD315" s="4">
        <v>64000</v>
      </c>
      <c r="AE315" s="2">
        <v>4094</v>
      </c>
      <c r="AF315" s="4" t="s">
        <v>456</v>
      </c>
    </row>
    <row r="316" spans="1:32" x14ac:dyDescent="0.2">
      <c r="A316" s="2" t="str">
        <f t="shared" si="45"/>
        <v>C9300-48UB-A-C9300-NM-2Q</v>
      </c>
      <c r="B316" s="2" t="s">
        <v>134</v>
      </c>
      <c r="C316" s="2" t="s">
        <v>498</v>
      </c>
      <c r="D316" s="2" t="s">
        <v>129</v>
      </c>
      <c r="E316" s="2" t="s">
        <v>140</v>
      </c>
      <c r="F316" s="2" t="s">
        <v>352</v>
      </c>
      <c r="G316" s="2"/>
      <c r="H316" s="2"/>
      <c r="I316" s="2"/>
      <c r="J316" s="2">
        <v>48</v>
      </c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9" t="str">
        <f t="shared" si="38"/>
        <v/>
      </c>
      <c r="V316" s="4" t="str">
        <f t="shared" si="39"/>
        <v/>
      </c>
      <c r="W316" s="4" t="str">
        <f t="shared" si="40"/>
        <v/>
      </c>
      <c r="X316" s="4" t="str">
        <f t="shared" si="41"/>
        <v/>
      </c>
      <c r="Y316" s="4" t="str">
        <f t="shared" si="42"/>
        <v>2</v>
      </c>
      <c r="Z316" s="2"/>
      <c r="AA316" s="2">
        <v>822</v>
      </c>
      <c r="AB316" s="2">
        <v>256</v>
      </c>
      <c r="AC316" s="4" t="s">
        <v>389</v>
      </c>
      <c r="AD316" s="4">
        <v>64000</v>
      </c>
      <c r="AE316" s="2">
        <v>4094</v>
      </c>
      <c r="AF316" s="4" t="s">
        <v>456</v>
      </c>
    </row>
    <row r="317" spans="1:32" x14ac:dyDescent="0.2">
      <c r="A317" s="2" t="str">
        <f t="shared" si="45"/>
        <v>C9300-48UB-A-C9300-NM-2Y</v>
      </c>
      <c r="B317" s="2" t="s">
        <v>134</v>
      </c>
      <c r="C317" s="2" t="s">
        <v>498</v>
      </c>
      <c r="D317" s="2" t="s">
        <v>129</v>
      </c>
      <c r="E317" s="2" t="s">
        <v>141</v>
      </c>
      <c r="F317" s="2" t="s">
        <v>352</v>
      </c>
      <c r="G317" s="2"/>
      <c r="H317" s="2"/>
      <c r="I317" s="2"/>
      <c r="J317" s="2">
        <v>48</v>
      </c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9" t="str">
        <f t="shared" si="38"/>
        <v/>
      </c>
      <c r="V317" s="4" t="str">
        <f t="shared" si="39"/>
        <v/>
      </c>
      <c r="W317" s="4" t="str">
        <f t="shared" si="40"/>
        <v/>
      </c>
      <c r="X317" s="4" t="str">
        <f t="shared" si="41"/>
        <v>2</v>
      </c>
      <c r="Y317" s="4" t="str">
        <f t="shared" si="42"/>
        <v/>
      </c>
      <c r="Z317" s="2"/>
      <c r="AA317" s="2">
        <v>822</v>
      </c>
      <c r="AB317" s="2">
        <v>256</v>
      </c>
      <c r="AC317" s="4" t="s">
        <v>389</v>
      </c>
      <c r="AD317" s="4">
        <v>64000</v>
      </c>
      <c r="AE317" s="2">
        <v>4094</v>
      </c>
      <c r="AF317" s="4" t="s">
        <v>456</v>
      </c>
    </row>
    <row r="318" spans="1:32" x14ac:dyDescent="0.2">
      <c r="A318" s="2" t="str">
        <f t="shared" si="45"/>
        <v>C9300-24H-A-C9300-NM-4G</v>
      </c>
      <c r="B318" s="2" t="s">
        <v>134</v>
      </c>
      <c r="C318" s="2" t="s">
        <v>499</v>
      </c>
      <c r="D318" s="2" t="s">
        <v>129</v>
      </c>
      <c r="E318" s="2" t="s">
        <v>137</v>
      </c>
      <c r="F318" s="2" t="s">
        <v>352</v>
      </c>
      <c r="G318" s="2"/>
      <c r="H318" s="2"/>
      <c r="I318" s="2"/>
      <c r="J318" s="2"/>
      <c r="K318" s="2">
        <v>24</v>
      </c>
      <c r="L318" s="2"/>
      <c r="M318" s="2"/>
      <c r="N318" s="2"/>
      <c r="O318" s="2"/>
      <c r="P318" s="2"/>
      <c r="Q318" s="2"/>
      <c r="R318" s="2"/>
      <c r="S318" s="2"/>
      <c r="T318" s="2"/>
      <c r="U318" s="29" t="str">
        <f t="shared" si="38"/>
        <v>4</v>
      </c>
      <c r="V318" s="4" t="str">
        <f t="shared" si="39"/>
        <v/>
      </c>
      <c r="W318" s="4" t="str">
        <f t="shared" si="40"/>
        <v/>
      </c>
      <c r="X318" s="4" t="str">
        <f t="shared" si="41"/>
        <v/>
      </c>
      <c r="Y318" s="4" t="str">
        <f t="shared" si="42"/>
        <v/>
      </c>
      <c r="Z318" s="2"/>
      <c r="AA318" s="2">
        <v>830</v>
      </c>
      <c r="AB318" s="4">
        <v>208</v>
      </c>
      <c r="AC318" s="4" t="s">
        <v>389</v>
      </c>
      <c r="AD318" s="4">
        <v>32000</v>
      </c>
      <c r="AE318" s="2">
        <v>4094</v>
      </c>
      <c r="AF318" s="4" t="s">
        <v>456</v>
      </c>
    </row>
    <row r="319" spans="1:32" x14ac:dyDescent="0.2">
      <c r="A319" s="2" t="str">
        <f t="shared" si="45"/>
        <v>C9300-24H-A-C9300-NM-4M</v>
      </c>
      <c r="B319" s="2" t="s">
        <v>134</v>
      </c>
      <c r="C319" s="2" t="s">
        <v>499</v>
      </c>
      <c r="D319" s="2" t="s">
        <v>129</v>
      </c>
      <c r="E319" s="2" t="s">
        <v>138</v>
      </c>
      <c r="F319" s="2" t="s">
        <v>352</v>
      </c>
      <c r="G319" s="2"/>
      <c r="H319" s="2"/>
      <c r="I319" s="2"/>
      <c r="J319" s="2"/>
      <c r="K319" s="2">
        <v>24</v>
      </c>
      <c r="L319" s="2"/>
      <c r="M319" s="2"/>
      <c r="N319" s="2"/>
      <c r="O319" s="2"/>
      <c r="P319" s="2"/>
      <c r="Q319" s="2"/>
      <c r="R319" s="2"/>
      <c r="S319" s="2"/>
      <c r="T319" s="2"/>
      <c r="U319" s="29" t="str">
        <f t="shared" si="38"/>
        <v/>
      </c>
      <c r="V319" s="4" t="str">
        <f t="shared" si="39"/>
        <v>4</v>
      </c>
      <c r="W319" s="4" t="str">
        <f t="shared" si="40"/>
        <v/>
      </c>
      <c r="X319" s="4" t="str">
        <f t="shared" si="41"/>
        <v/>
      </c>
      <c r="Y319" s="4" t="str">
        <f t="shared" si="42"/>
        <v/>
      </c>
      <c r="Z319" s="2"/>
      <c r="AA319" s="2">
        <v>830</v>
      </c>
      <c r="AB319" s="2">
        <v>208</v>
      </c>
      <c r="AC319" s="4" t="s">
        <v>389</v>
      </c>
      <c r="AD319" s="4">
        <v>32000</v>
      </c>
      <c r="AE319" s="2">
        <v>4094</v>
      </c>
      <c r="AF319" s="4" t="s">
        <v>456</v>
      </c>
    </row>
    <row r="320" spans="1:32" x14ac:dyDescent="0.2">
      <c r="A320" s="2" t="str">
        <f t="shared" si="45"/>
        <v>C9300-24H-A-C9300-NM-8X</v>
      </c>
      <c r="B320" s="2" t="s">
        <v>134</v>
      </c>
      <c r="C320" s="2" t="s">
        <v>499</v>
      </c>
      <c r="D320" s="2" t="s">
        <v>129</v>
      </c>
      <c r="E320" s="2" t="s">
        <v>139</v>
      </c>
      <c r="F320" s="2" t="s">
        <v>352</v>
      </c>
      <c r="G320" s="2"/>
      <c r="H320" s="2"/>
      <c r="I320" s="2"/>
      <c r="J320" s="2"/>
      <c r="K320" s="2">
        <v>24</v>
      </c>
      <c r="L320" s="2"/>
      <c r="M320" s="2"/>
      <c r="N320" s="2"/>
      <c r="O320" s="2"/>
      <c r="P320" s="2"/>
      <c r="Q320" s="2"/>
      <c r="R320" s="2"/>
      <c r="S320" s="2"/>
      <c r="T320" s="2"/>
      <c r="U320" s="29" t="str">
        <f t="shared" si="38"/>
        <v/>
      </c>
      <c r="V320" s="4" t="str">
        <f t="shared" si="39"/>
        <v/>
      </c>
      <c r="W320" s="4" t="str">
        <f t="shared" si="40"/>
        <v>8</v>
      </c>
      <c r="X320" s="4" t="str">
        <f t="shared" si="41"/>
        <v/>
      </c>
      <c r="Y320" s="4" t="str">
        <f t="shared" si="42"/>
        <v/>
      </c>
      <c r="Z320" s="2"/>
      <c r="AA320" s="2">
        <v>830</v>
      </c>
      <c r="AB320" s="2">
        <v>208</v>
      </c>
      <c r="AC320" s="4" t="s">
        <v>389</v>
      </c>
      <c r="AD320" s="4">
        <v>32000</v>
      </c>
      <c r="AE320" s="2">
        <v>4094</v>
      </c>
      <c r="AF320" s="4" t="s">
        <v>456</v>
      </c>
    </row>
    <row r="321" spans="1:32" x14ac:dyDescent="0.2">
      <c r="A321" s="2" t="str">
        <f t="shared" si="45"/>
        <v>C9300-24H-A-C9300-NM-2Q</v>
      </c>
      <c r="B321" s="2" t="s">
        <v>134</v>
      </c>
      <c r="C321" s="2" t="s">
        <v>499</v>
      </c>
      <c r="D321" s="2" t="s">
        <v>129</v>
      </c>
      <c r="E321" s="2" t="s">
        <v>140</v>
      </c>
      <c r="F321" s="2" t="s">
        <v>352</v>
      </c>
      <c r="G321" s="2"/>
      <c r="H321" s="2"/>
      <c r="I321" s="2"/>
      <c r="J321" s="2"/>
      <c r="K321" s="2">
        <v>24</v>
      </c>
      <c r="L321" s="2"/>
      <c r="M321" s="2"/>
      <c r="N321" s="2"/>
      <c r="O321" s="2"/>
      <c r="P321" s="2"/>
      <c r="Q321" s="2"/>
      <c r="R321" s="2"/>
      <c r="S321" s="2"/>
      <c r="T321" s="2"/>
      <c r="U321" s="29" t="str">
        <f t="shared" si="38"/>
        <v/>
      </c>
      <c r="V321" s="4" t="str">
        <f t="shared" si="39"/>
        <v/>
      </c>
      <c r="W321" s="4" t="str">
        <f t="shared" si="40"/>
        <v/>
      </c>
      <c r="X321" s="4" t="str">
        <f t="shared" si="41"/>
        <v/>
      </c>
      <c r="Y321" s="4" t="str">
        <f t="shared" si="42"/>
        <v>2</v>
      </c>
      <c r="Z321" s="2"/>
      <c r="AA321" s="2">
        <v>830</v>
      </c>
      <c r="AB321" s="2">
        <v>208</v>
      </c>
      <c r="AC321" s="4" t="s">
        <v>389</v>
      </c>
      <c r="AD321" s="4">
        <v>32000</v>
      </c>
      <c r="AE321" s="2">
        <v>4094</v>
      </c>
      <c r="AF321" s="4" t="s">
        <v>456</v>
      </c>
    </row>
    <row r="322" spans="1:32" x14ac:dyDescent="0.2">
      <c r="A322" s="2" t="str">
        <f t="shared" si="45"/>
        <v>C9300-24H-A-C9300-NM-2Y</v>
      </c>
      <c r="B322" s="2" t="s">
        <v>134</v>
      </c>
      <c r="C322" s="2" t="s">
        <v>499</v>
      </c>
      <c r="D322" s="2" t="s">
        <v>129</v>
      </c>
      <c r="E322" s="2" t="s">
        <v>141</v>
      </c>
      <c r="F322" s="2" t="s">
        <v>352</v>
      </c>
      <c r="G322" s="2"/>
      <c r="H322" s="2"/>
      <c r="I322" s="2"/>
      <c r="J322" s="2"/>
      <c r="K322" s="2">
        <v>24</v>
      </c>
      <c r="L322" s="2"/>
      <c r="M322" s="2"/>
      <c r="N322" s="2"/>
      <c r="O322" s="2"/>
      <c r="P322" s="2"/>
      <c r="Q322" s="2"/>
      <c r="R322" s="2"/>
      <c r="S322" s="2"/>
      <c r="T322" s="2"/>
      <c r="U322" s="29" t="str">
        <f t="shared" si="38"/>
        <v/>
      </c>
      <c r="V322" s="4" t="str">
        <f t="shared" si="39"/>
        <v/>
      </c>
      <c r="W322" s="4" t="str">
        <f t="shared" si="40"/>
        <v/>
      </c>
      <c r="X322" s="4" t="str">
        <f t="shared" si="41"/>
        <v>2</v>
      </c>
      <c r="Y322" s="4" t="str">
        <f t="shared" si="42"/>
        <v/>
      </c>
      <c r="Z322" s="2"/>
      <c r="AA322" s="2">
        <v>830</v>
      </c>
      <c r="AB322" s="2">
        <v>208</v>
      </c>
      <c r="AC322" s="4" t="s">
        <v>389</v>
      </c>
      <c r="AD322" s="4">
        <v>32000</v>
      </c>
      <c r="AE322" s="2">
        <v>4094</v>
      </c>
      <c r="AF322" s="4" t="s">
        <v>456</v>
      </c>
    </row>
    <row r="323" spans="1:32" x14ac:dyDescent="0.2">
      <c r="A323" s="2" t="str">
        <f t="shared" si="45"/>
        <v>C9300-48H-A-C9300-NM-4G</v>
      </c>
      <c r="B323" s="2" t="s">
        <v>134</v>
      </c>
      <c r="C323" s="2" t="s">
        <v>500</v>
      </c>
      <c r="D323" s="2" t="s">
        <v>129</v>
      </c>
      <c r="E323" s="2" t="s">
        <v>137</v>
      </c>
      <c r="F323" s="2" t="s">
        <v>352</v>
      </c>
      <c r="G323" s="2"/>
      <c r="H323" s="2"/>
      <c r="I323" s="2"/>
      <c r="J323" s="2"/>
      <c r="K323" s="2">
        <v>48</v>
      </c>
      <c r="L323" s="2"/>
      <c r="M323" s="2"/>
      <c r="N323" s="2"/>
      <c r="O323" s="2"/>
      <c r="P323" s="2"/>
      <c r="Q323" s="2"/>
      <c r="R323" s="2"/>
      <c r="S323" s="2"/>
      <c r="T323" s="2"/>
      <c r="U323" s="29" t="str">
        <f t="shared" ref="U323:U337" si="46">IF(E323="C9300-NM-4G","4","")</f>
        <v>4</v>
      </c>
      <c r="V323" s="4" t="str">
        <f t="shared" ref="V323:V337" si="47">IF(E323="C9300-NM-4M","4","")</f>
        <v/>
      </c>
      <c r="W323" s="4" t="str">
        <f t="shared" ref="W323:W337" si="48">IF(E323="C9300-NM-8X","8","")</f>
        <v/>
      </c>
      <c r="X323" s="4" t="str">
        <f t="shared" ref="X323:X337" si="49">IF(E323="C9300-NM-2Y","2","")</f>
        <v/>
      </c>
      <c r="Y323" s="4" t="str">
        <f t="shared" ref="Y323:Y337" si="50">IF(E323="C9300-NM-2Q","2","")</f>
        <v/>
      </c>
      <c r="Z323" s="2"/>
      <c r="AA323" s="2">
        <v>822</v>
      </c>
      <c r="AB323" s="2">
        <v>256</v>
      </c>
      <c r="AC323" s="4" t="s">
        <v>389</v>
      </c>
      <c r="AD323" s="4">
        <v>32000</v>
      </c>
      <c r="AE323" s="2">
        <v>4094</v>
      </c>
      <c r="AF323" s="4" t="s">
        <v>456</v>
      </c>
    </row>
    <row r="324" spans="1:32" x14ac:dyDescent="0.2">
      <c r="A324" s="2" t="str">
        <f t="shared" si="45"/>
        <v>C9300-48H-A-C9300-NM-4M</v>
      </c>
      <c r="B324" s="2" t="s">
        <v>134</v>
      </c>
      <c r="C324" s="2" t="s">
        <v>500</v>
      </c>
      <c r="D324" s="2" t="s">
        <v>129</v>
      </c>
      <c r="E324" s="2" t="s">
        <v>138</v>
      </c>
      <c r="F324" s="2" t="s">
        <v>352</v>
      </c>
      <c r="G324" s="2"/>
      <c r="H324" s="2"/>
      <c r="I324" s="2"/>
      <c r="J324" s="2"/>
      <c r="K324" s="2">
        <v>48</v>
      </c>
      <c r="L324" s="2"/>
      <c r="M324" s="2"/>
      <c r="N324" s="2"/>
      <c r="O324" s="2"/>
      <c r="P324" s="2"/>
      <c r="Q324" s="2"/>
      <c r="R324" s="2"/>
      <c r="S324" s="2"/>
      <c r="T324" s="2"/>
      <c r="U324" s="29" t="str">
        <f t="shared" si="46"/>
        <v/>
      </c>
      <c r="V324" s="4" t="str">
        <f t="shared" si="47"/>
        <v>4</v>
      </c>
      <c r="W324" s="4" t="str">
        <f t="shared" si="48"/>
        <v/>
      </c>
      <c r="X324" s="4" t="str">
        <f t="shared" si="49"/>
        <v/>
      </c>
      <c r="Y324" s="4" t="str">
        <f t="shared" si="50"/>
        <v/>
      </c>
      <c r="Z324" s="2"/>
      <c r="AA324" s="2">
        <v>822</v>
      </c>
      <c r="AB324" s="2">
        <v>256</v>
      </c>
      <c r="AC324" s="4" t="s">
        <v>389</v>
      </c>
      <c r="AD324" s="4">
        <v>32000</v>
      </c>
      <c r="AE324" s="2">
        <v>4094</v>
      </c>
      <c r="AF324" s="4" t="s">
        <v>456</v>
      </c>
    </row>
    <row r="325" spans="1:32" x14ac:dyDescent="0.2">
      <c r="A325" s="2" t="str">
        <f t="shared" si="45"/>
        <v>C9300-48H-A-C9300-NM-8X</v>
      </c>
      <c r="B325" s="2" t="s">
        <v>134</v>
      </c>
      <c r="C325" s="2" t="s">
        <v>500</v>
      </c>
      <c r="D325" s="2" t="s">
        <v>129</v>
      </c>
      <c r="E325" s="2" t="s">
        <v>139</v>
      </c>
      <c r="F325" s="2" t="s">
        <v>352</v>
      </c>
      <c r="G325" s="2"/>
      <c r="H325" s="2"/>
      <c r="I325" s="2"/>
      <c r="J325" s="2"/>
      <c r="K325" s="2">
        <v>48</v>
      </c>
      <c r="L325" s="2"/>
      <c r="M325" s="2"/>
      <c r="N325" s="2"/>
      <c r="O325" s="2"/>
      <c r="P325" s="2"/>
      <c r="Q325" s="2"/>
      <c r="R325" s="2"/>
      <c r="S325" s="2"/>
      <c r="T325" s="2"/>
      <c r="U325" s="29" t="str">
        <f t="shared" si="46"/>
        <v/>
      </c>
      <c r="V325" s="4" t="str">
        <f t="shared" si="47"/>
        <v/>
      </c>
      <c r="W325" s="4" t="str">
        <f t="shared" si="48"/>
        <v>8</v>
      </c>
      <c r="X325" s="4" t="str">
        <f t="shared" si="49"/>
        <v/>
      </c>
      <c r="Y325" s="4" t="str">
        <f t="shared" si="50"/>
        <v/>
      </c>
      <c r="Z325" s="2"/>
      <c r="AA325" s="2">
        <v>822</v>
      </c>
      <c r="AB325" s="2">
        <v>256</v>
      </c>
      <c r="AC325" s="4" t="s">
        <v>389</v>
      </c>
      <c r="AD325" s="4">
        <v>32000</v>
      </c>
      <c r="AE325" s="2">
        <v>4094</v>
      </c>
      <c r="AF325" s="4" t="s">
        <v>456</v>
      </c>
    </row>
    <row r="326" spans="1:32" x14ac:dyDescent="0.2">
      <c r="A326" s="2" t="str">
        <f t="shared" si="45"/>
        <v>C9300-48H-A-C9300-NM-2Q</v>
      </c>
      <c r="B326" s="2" t="s">
        <v>134</v>
      </c>
      <c r="C326" s="2" t="s">
        <v>500</v>
      </c>
      <c r="D326" s="2" t="s">
        <v>129</v>
      </c>
      <c r="E326" s="2" t="s">
        <v>140</v>
      </c>
      <c r="F326" s="2" t="s">
        <v>352</v>
      </c>
      <c r="G326" s="2"/>
      <c r="H326" s="2"/>
      <c r="I326" s="2"/>
      <c r="J326" s="2"/>
      <c r="K326" s="2">
        <v>48</v>
      </c>
      <c r="L326" s="2"/>
      <c r="M326" s="2"/>
      <c r="N326" s="2"/>
      <c r="O326" s="2"/>
      <c r="P326" s="2"/>
      <c r="Q326" s="2"/>
      <c r="R326" s="2"/>
      <c r="S326" s="2"/>
      <c r="T326" s="2"/>
      <c r="U326" s="29" t="str">
        <f t="shared" si="46"/>
        <v/>
      </c>
      <c r="V326" s="4" t="str">
        <f t="shared" si="47"/>
        <v/>
      </c>
      <c r="W326" s="4" t="str">
        <f t="shared" si="48"/>
        <v/>
      </c>
      <c r="X326" s="4" t="str">
        <f t="shared" si="49"/>
        <v/>
      </c>
      <c r="Y326" s="4" t="str">
        <f t="shared" si="50"/>
        <v>2</v>
      </c>
      <c r="Z326" s="2"/>
      <c r="AA326" s="2">
        <v>822</v>
      </c>
      <c r="AB326" s="2">
        <v>256</v>
      </c>
      <c r="AC326" s="4" t="s">
        <v>389</v>
      </c>
      <c r="AD326" s="4">
        <v>32000</v>
      </c>
      <c r="AE326" s="2">
        <v>4094</v>
      </c>
      <c r="AF326" s="4" t="s">
        <v>456</v>
      </c>
    </row>
    <row r="327" spans="1:32" x14ac:dyDescent="0.2">
      <c r="A327" s="2" t="str">
        <f t="shared" si="45"/>
        <v>C9300-48H-A-C9300-NM-2Y</v>
      </c>
      <c r="B327" s="2" t="s">
        <v>134</v>
      </c>
      <c r="C327" s="2" t="s">
        <v>500</v>
      </c>
      <c r="D327" s="2" t="s">
        <v>129</v>
      </c>
      <c r="E327" s="2" t="s">
        <v>141</v>
      </c>
      <c r="F327" s="2" t="s">
        <v>352</v>
      </c>
      <c r="G327" s="2"/>
      <c r="H327" s="2"/>
      <c r="I327" s="2"/>
      <c r="J327" s="2"/>
      <c r="K327" s="2">
        <v>48</v>
      </c>
      <c r="L327" s="2"/>
      <c r="M327" s="2"/>
      <c r="N327" s="2"/>
      <c r="O327" s="2"/>
      <c r="P327" s="2"/>
      <c r="Q327" s="2"/>
      <c r="R327" s="2"/>
      <c r="S327" s="2"/>
      <c r="T327" s="2"/>
      <c r="U327" s="29" t="str">
        <f t="shared" si="46"/>
        <v/>
      </c>
      <c r="V327" s="4" t="str">
        <f t="shared" si="47"/>
        <v/>
      </c>
      <c r="W327" s="4" t="str">
        <f t="shared" si="48"/>
        <v/>
      </c>
      <c r="X327" s="4" t="str">
        <f t="shared" si="49"/>
        <v>2</v>
      </c>
      <c r="Y327" s="4" t="str">
        <f t="shared" si="50"/>
        <v/>
      </c>
      <c r="Z327" s="2"/>
      <c r="AA327" s="2">
        <v>822</v>
      </c>
      <c r="AB327" s="2">
        <v>256</v>
      </c>
      <c r="AC327" s="4" t="s">
        <v>389</v>
      </c>
      <c r="AD327" s="4">
        <v>32000</v>
      </c>
      <c r="AE327" s="2">
        <v>4094</v>
      </c>
      <c r="AF327" s="4" t="s">
        <v>456</v>
      </c>
    </row>
    <row r="328" spans="1:32" x14ac:dyDescent="0.2">
      <c r="A328" s="2" t="str">
        <f t="shared" si="45"/>
        <v>C9300-24S-A-C9300-NM-4G</v>
      </c>
      <c r="B328" s="2" t="s">
        <v>134</v>
      </c>
      <c r="C328" s="2" t="s">
        <v>501</v>
      </c>
      <c r="D328" s="2" t="s">
        <v>129</v>
      </c>
      <c r="E328" s="2" t="s">
        <v>137</v>
      </c>
      <c r="F328" s="2" t="s">
        <v>352</v>
      </c>
      <c r="G328" s="2"/>
      <c r="H328" s="2"/>
      <c r="I328" s="2"/>
      <c r="J328" s="2"/>
      <c r="K328" s="2"/>
      <c r="L328" s="2">
        <v>24</v>
      </c>
      <c r="M328" s="2"/>
      <c r="N328" s="2"/>
      <c r="O328" s="2"/>
      <c r="P328" s="2"/>
      <c r="Q328" s="2"/>
      <c r="R328" s="2"/>
      <c r="S328" s="2"/>
      <c r="T328" s="2"/>
      <c r="U328" s="29" t="str">
        <f t="shared" si="46"/>
        <v>4</v>
      </c>
      <c r="V328" s="4" t="str">
        <f t="shared" si="47"/>
        <v/>
      </c>
      <c r="W328" s="4" t="str">
        <f t="shared" si="48"/>
        <v/>
      </c>
      <c r="X328" s="4" t="str">
        <f t="shared" si="49"/>
        <v/>
      </c>
      <c r="Y328" s="4" t="str">
        <f t="shared" si="50"/>
        <v/>
      </c>
      <c r="Z328" s="2"/>
      <c r="AA328" s="2"/>
      <c r="AB328" s="4">
        <v>208</v>
      </c>
      <c r="AC328" s="4" t="s">
        <v>389</v>
      </c>
      <c r="AD328" s="4">
        <v>32000</v>
      </c>
      <c r="AE328" s="2">
        <v>4094</v>
      </c>
      <c r="AF328" s="2"/>
    </row>
    <row r="329" spans="1:32" x14ac:dyDescent="0.2">
      <c r="A329" s="2" t="str">
        <f t="shared" si="45"/>
        <v>C9300-24S-A-C9300-NM-4M</v>
      </c>
      <c r="B329" s="2" t="s">
        <v>134</v>
      </c>
      <c r="C329" s="2" t="s">
        <v>501</v>
      </c>
      <c r="D329" s="2" t="s">
        <v>129</v>
      </c>
      <c r="E329" s="2" t="s">
        <v>138</v>
      </c>
      <c r="F329" s="2" t="s">
        <v>352</v>
      </c>
      <c r="G329" s="2"/>
      <c r="H329" s="2"/>
      <c r="I329" s="2"/>
      <c r="J329" s="2"/>
      <c r="K329" s="2"/>
      <c r="L329" s="2">
        <v>24</v>
      </c>
      <c r="M329" s="2"/>
      <c r="N329" s="2"/>
      <c r="O329" s="2"/>
      <c r="P329" s="2"/>
      <c r="Q329" s="2"/>
      <c r="R329" s="2"/>
      <c r="S329" s="2"/>
      <c r="T329" s="2"/>
      <c r="U329" s="29" t="str">
        <f t="shared" si="46"/>
        <v/>
      </c>
      <c r="V329" s="4" t="str">
        <f t="shared" si="47"/>
        <v>4</v>
      </c>
      <c r="W329" s="4" t="str">
        <f t="shared" si="48"/>
        <v/>
      </c>
      <c r="X329" s="4" t="str">
        <f t="shared" si="49"/>
        <v/>
      </c>
      <c r="Y329" s="4" t="str">
        <f t="shared" si="50"/>
        <v/>
      </c>
      <c r="Z329" s="2"/>
      <c r="AA329" s="2"/>
      <c r="AB329" s="2">
        <v>208</v>
      </c>
      <c r="AC329" s="4" t="s">
        <v>389</v>
      </c>
      <c r="AD329" s="4">
        <v>32000</v>
      </c>
      <c r="AE329" s="2">
        <v>4094</v>
      </c>
      <c r="AF329" s="2"/>
    </row>
    <row r="330" spans="1:32" x14ac:dyDescent="0.2">
      <c r="A330" s="2" t="str">
        <f t="shared" si="45"/>
        <v>C9300-24S-A-C9300-NM-8X</v>
      </c>
      <c r="B330" s="2" t="s">
        <v>134</v>
      </c>
      <c r="C330" s="2" t="s">
        <v>501</v>
      </c>
      <c r="D330" s="2" t="s">
        <v>129</v>
      </c>
      <c r="E330" s="2" t="s">
        <v>139</v>
      </c>
      <c r="F330" s="2" t="s">
        <v>352</v>
      </c>
      <c r="G330" s="2"/>
      <c r="H330" s="2"/>
      <c r="I330" s="2"/>
      <c r="J330" s="2"/>
      <c r="K330" s="2"/>
      <c r="L330" s="2">
        <v>24</v>
      </c>
      <c r="M330" s="2"/>
      <c r="N330" s="2"/>
      <c r="O330" s="2"/>
      <c r="P330" s="2"/>
      <c r="Q330" s="2"/>
      <c r="R330" s="2"/>
      <c r="S330" s="2"/>
      <c r="T330" s="2"/>
      <c r="U330" s="29" t="str">
        <f t="shared" si="46"/>
        <v/>
      </c>
      <c r="V330" s="4" t="str">
        <f t="shared" si="47"/>
        <v/>
      </c>
      <c r="W330" s="4" t="str">
        <f t="shared" si="48"/>
        <v>8</v>
      </c>
      <c r="X330" s="4" t="str">
        <f t="shared" si="49"/>
        <v/>
      </c>
      <c r="Y330" s="4" t="str">
        <f t="shared" si="50"/>
        <v/>
      </c>
      <c r="Z330" s="2"/>
      <c r="AA330" s="2"/>
      <c r="AB330" s="2">
        <v>208</v>
      </c>
      <c r="AC330" s="4" t="s">
        <v>389</v>
      </c>
      <c r="AD330" s="4">
        <v>32000</v>
      </c>
      <c r="AE330" s="2">
        <v>4094</v>
      </c>
      <c r="AF330" s="2"/>
    </row>
    <row r="331" spans="1:32" x14ac:dyDescent="0.2">
      <c r="A331" s="2" t="str">
        <f t="shared" si="45"/>
        <v>C9300-24S-A-C9300-NM-2Q</v>
      </c>
      <c r="B331" s="2" t="s">
        <v>134</v>
      </c>
      <c r="C331" s="2" t="s">
        <v>501</v>
      </c>
      <c r="D331" s="2" t="s">
        <v>129</v>
      </c>
      <c r="E331" s="2" t="s">
        <v>140</v>
      </c>
      <c r="F331" s="2" t="s">
        <v>352</v>
      </c>
      <c r="G331" s="2"/>
      <c r="H331" s="2"/>
      <c r="I331" s="2"/>
      <c r="J331" s="2"/>
      <c r="K331" s="2"/>
      <c r="L331" s="2">
        <v>24</v>
      </c>
      <c r="M331" s="2"/>
      <c r="N331" s="2"/>
      <c r="O331" s="2"/>
      <c r="P331" s="2"/>
      <c r="Q331" s="2"/>
      <c r="R331" s="2"/>
      <c r="S331" s="2"/>
      <c r="T331" s="2"/>
      <c r="U331" s="29" t="str">
        <f t="shared" si="46"/>
        <v/>
      </c>
      <c r="V331" s="4" t="str">
        <f t="shared" si="47"/>
        <v/>
      </c>
      <c r="W331" s="4" t="str">
        <f t="shared" si="48"/>
        <v/>
      </c>
      <c r="X331" s="4" t="str">
        <f t="shared" si="49"/>
        <v/>
      </c>
      <c r="Y331" s="4" t="str">
        <f t="shared" si="50"/>
        <v>2</v>
      </c>
      <c r="Z331" s="2"/>
      <c r="AA331" s="2"/>
      <c r="AB331" s="2">
        <v>208</v>
      </c>
      <c r="AC331" s="4" t="s">
        <v>389</v>
      </c>
      <c r="AD331" s="4">
        <v>32000</v>
      </c>
      <c r="AE331" s="2">
        <v>4094</v>
      </c>
      <c r="AF331" s="2"/>
    </row>
    <row r="332" spans="1:32" x14ac:dyDescent="0.2">
      <c r="A332" s="2" t="str">
        <f t="shared" si="45"/>
        <v>C9300-24S-A-C9300-NM-2Y</v>
      </c>
      <c r="B332" s="2" t="s">
        <v>134</v>
      </c>
      <c r="C332" s="2" t="s">
        <v>501</v>
      </c>
      <c r="D332" s="2" t="s">
        <v>129</v>
      </c>
      <c r="E332" s="2" t="s">
        <v>141</v>
      </c>
      <c r="F332" s="2" t="s">
        <v>352</v>
      </c>
      <c r="G332" s="2"/>
      <c r="H332" s="2"/>
      <c r="I332" s="2"/>
      <c r="J332" s="2"/>
      <c r="K332" s="2"/>
      <c r="L332" s="2">
        <v>24</v>
      </c>
      <c r="M332" s="2"/>
      <c r="N332" s="2"/>
      <c r="O332" s="2"/>
      <c r="P332" s="2"/>
      <c r="Q332" s="2"/>
      <c r="R332" s="2"/>
      <c r="S332" s="2"/>
      <c r="T332" s="2"/>
      <c r="U332" s="29" t="str">
        <f t="shared" si="46"/>
        <v/>
      </c>
      <c r="V332" s="4" t="str">
        <f t="shared" si="47"/>
        <v/>
      </c>
      <c r="W332" s="4" t="str">
        <f t="shared" si="48"/>
        <v/>
      </c>
      <c r="X332" s="4" t="str">
        <f t="shared" si="49"/>
        <v>2</v>
      </c>
      <c r="Y332" s="4" t="str">
        <f t="shared" si="50"/>
        <v/>
      </c>
      <c r="Z332" s="2"/>
      <c r="AA332" s="2"/>
      <c r="AB332" s="2">
        <v>208</v>
      </c>
      <c r="AC332" s="4" t="s">
        <v>389</v>
      </c>
      <c r="AD332" s="4">
        <v>32000</v>
      </c>
      <c r="AE332" s="2">
        <v>4094</v>
      </c>
      <c r="AF332" s="2"/>
    </row>
    <row r="333" spans="1:32" x14ac:dyDescent="0.2">
      <c r="A333" s="2" t="str">
        <f t="shared" si="45"/>
        <v>C9300-48S-A-C9300-NM-4G</v>
      </c>
      <c r="B333" s="2" t="s">
        <v>134</v>
      </c>
      <c r="C333" s="2" t="s">
        <v>502</v>
      </c>
      <c r="D333" s="2" t="s">
        <v>129</v>
      </c>
      <c r="E333" s="2" t="s">
        <v>137</v>
      </c>
      <c r="F333" s="2" t="s">
        <v>352</v>
      </c>
      <c r="G333" s="2"/>
      <c r="H333" s="2"/>
      <c r="I333" s="2"/>
      <c r="J333" s="2"/>
      <c r="K333" s="2"/>
      <c r="L333" s="2">
        <v>48</v>
      </c>
      <c r="M333" s="2"/>
      <c r="N333" s="2"/>
      <c r="O333" s="2"/>
      <c r="P333" s="2"/>
      <c r="Q333" s="2"/>
      <c r="R333" s="2"/>
      <c r="S333" s="2"/>
      <c r="T333" s="2"/>
      <c r="U333" s="29" t="str">
        <f t="shared" si="46"/>
        <v>4</v>
      </c>
      <c r="V333" s="4" t="str">
        <f t="shared" si="47"/>
        <v/>
      </c>
      <c r="W333" s="4" t="str">
        <f t="shared" si="48"/>
        <v/>
      </c>
      <c r="X333" s="4" t="str">
        <f t="shared" si="49"/>
        <v/>
      </c>
      <c r="Y333" s="4" t="str">
        <f t="shared" si="50"/>
        <v/>
      </c>
      <c r="Z333" s="2"/>
      <c r="AA333" s="2"/>
      <c r="AB333" s="2">
        <v>256</v>
      </c>
      <c r="AC333" s="4" t="s">
        <v>389</v>
      </c>
      <c r="AD333" s="4">
        <v>32000</v>
      </c>
      <c r="AE333" s="2">
        <v>4094</v>
      </c>
      <c r="AF333" s="2"/>
    </row>
    <row r="334" spans="1:32" x14ac:dyDescent="0.2">
      <c r="A334" s="2" t="str">
        <f t="shared" si="45"/>
        <v>C9300-48S-A-C9300-NM-4M</v>
      </c>
      <c r="B334" s="2" t="s">
        <v>134</v>
      </c>
      <c r="C334" s="2" t="s">
        <v>502</v>
      </c>
      <c r="D334" s="2" t="s">
        <v>129</v>
      </c>
      <c r="E334" s="2" t="s">
        <v>138</v>
      </c>
      <c r="F334" s="2" t="s">
        <v>352</v>
      </c>
      <c r="G334" s="2"/>
      <c r="H334" s="2"/>
      <c r="I334" s="2"/>
      <c r="J334" s="2"/>
      <c r="K334" s="2"/>
      <c r="L334" s="2">
        <v>48</v>
      </c>
      <c r="M334" s="2"/>
      <c r="N334" s="2"/>
      <c r="O334" s="2"/>
      <c r="P334" s="2"/>
      <c r="Q334" s="2"/>
      <c r="R334" s="2"/>
      <c r="S334" s="2"/>
      <c r="T334" s="2"/>
      <c r="U334" s="29" t="str">
        <f t="shared" si="46"/>
        <v/>
      </c>
      <c r="V334" s="4" t="str">
        <f t="shared" si="47"/>
        <v>4</v>
      </c>
      <c r="W334" s="4" t="str">
        <f t="shared" si="48"/>
        <v/>
      </c>
      <c r="X334" s="4" t="str">
        <f t="shared" si="49"/>
        <v/>
      </c>
      <c r="Y334" s="4" t="str">
        <f t="shared" si="50"/>
        <v/>
      </c>
      <c r="Z334" s="2"/>
      <c r="AA334" s="2"/>
      <c r="AB334" s="2">
        <v>256</v>
      </c>
      <c r="AC334" s="4" t="s">
        <v>389</v>
      </c>
      <c r="AD334" s="4">
        <v>32000</v>
      </c>
      <c r="AE334" s="2">
        <v>4094</v>
      </c>
      <c r="AF334" s="2"/>
    </row>
    <row r="335" spans="1:32" x14ac:dyDescent="0.2">
      <c r="A335" s="2" t="str">
        <f t="shared" si="45"/>
        <v>C9300-48S-A-C9300-NM-8X</v>
      </c>
      <c r="B335" s="2" t="s">
        <v>134</v>
      </c>
      <c r="C335" s="2" t="s">
        <v>502</v>
      </c>
      <c r="D335" s="2" t="s">
        <v>129</v>
      </c>
      <c r="E335" s="2" t="s">
        <v>139</v>
      </c>
      <c r="F335" s="2" t="s">
        <v>352</v>
      </c>
      <c r="G335" s="2"/>
      <c r="H335" s="2"/>
      <c r="I335" s="2"/>
      <c r="J335" s="2"/>
      <c r="K335" s="2"/>
      <c r="L335" s="2">
        <v>48</v>
      </c>
      <c r="M335" s="2"/>
      <c r="N335" s="2"/>
      <c r="O335" s="2"/>
      <c r="P335" s="2"/>
      <c r="Q335" s="2"/>
      <c r="R335" s="2"/>
      <c r="S335" s="2"/>
      <c r="T335" s="2"/>
      <c r="U335" s="29" t="str">
        <f t="shared" si="46"/>
        <v/>
      </c>
      <c r="V335" s="4" t="str">
        <f t="shared" si="47"/>
        <v/>
      </c>
      <c r="W335" s="4" t="str">
        <f t="shared" si="48"/>
        <v>8</v>
      </c>
      <c r="X335" s="4" t="str">
        <f t="shared" si="49"/>
        <v/>
      </c>
      <c r="Y335" s="4" t="str">
        <f t="shared" si="50"/>
        <v/>
      </c>
      <c r="Z335" s="2"/>
      <c r="AA335" s="2"/>
      <c r="AB335" s="2">
        <v>256</v>
      </c>
      <c r="AC335" s="4" t="s">
        <v>389</v>
      </c>
      <c r="AD335" s="4">
        <v>32000</v>
      </c>
      <c r="AE335" s="2">
        <v>4094</v>
      </c>
      <c r="AF335" s="2"/>
    </row>
    <row r="336" spans="1:32" x14ac:dyDescent="0.2">
      <c r="A336" s="2" t="str">
        <f t="shared" si="45"/>
        <v>C9300-48S-A-C9300-NM-2Q</v>
      </c>
      <c r="B336" s="2" t="s">
        <v>134</v>
      </c>
      <c r="C336" s="2" t="s">
        <v>502</v>
      </c>
      <c r="D336" s="2" t="s">
        <v>129</v>
      </c>
      <c r="E336" s="2" t="s">
        <v>140</v>
      </c>
      <c r="F336" s="2" t="s">
        <v>352</v>
      </c>
      <c r="G336" s="2"/>
      <c r="H336" s="2"/>
      <c r="I336" s="2"/>
      <c r="J336" s="2"/>
      <c r="K336" s="2"/>
      <c r="L336" s="2">
        <v>48</v>
      </c>
      <c r="M336" s="2"/>
      <c r="N336" s="2"/>
      <c r="O336" s="2"/>
      <c r="P336" s="2"/>
      <c r="Q336" s="2"/>
      <c r="R336" s="2"/>
      <c r="S336" s="2"/>
      <c r="T336" s="2"/>
      <c r="U336" s="29" t="str">
        <f t="shared" si="46"/>
        <v/>
      </c>
      <c r="V336" s="4" t="str">
        <f t="shared" si="47"/>
        <v/>
      </c>
      <c r="W336" s="4" t="str">
        <f t="shared" si="48"/>
        <v/>
      </c>
      <c r="X336" s="4" t="str">
        <f t="shared" si="49"/>
        <v/>
      </c>
      <c r="Y336" s="4" t="str">
        <f t="shared" si="50"/>
        <v>2</v>
      </c>
      <c r="Z336" s="2"/>
      <c r="AA336" s="2"/>
      <c r="AB336" s="2">
        <v>256</v>
      </c>
      <c r="AC336" s="4" t="s">
        <v>389</v>
      </c>
      <c r="AD336" s="4">
        <v>32000</v>
      </c>
      <c r="AE336" s="2">
        <v>4094</v>
      </c>
      <c r="AF336" s="2"/>
    </row>
    <row r="337" spans="1:32" s="1" customFormat="1" x14ac:dyDescent="0.2">
      <c r="A337" s="4" t="str">
        <f t="shared" si="45"/>
        <v>C9300-48S-A-C9300-NM-2Y</v>
      </c>
      <c r="B337" s="4" t="s">
        <v>134</v>
      </c>
      <c r="C337" s="4" t="s">
        <v>502</v>
      </c>
      <c r="D337" s="4" t="s">
        <v>129</v>
      </c>
      <c r="E337" s="4" t="s">
        <v>141</v>
      </c>
      <c r="F337" s="4" t="s">
        <v>352</v>
      </c>
      <c r="G337" s="4"/>
      <c r="H337" s="4"/>
      <c r="I337" s="4"/>
      <c r="J337" s="4"/>
      <c r="K337" s="4"/>
      <c r="L337" s="4">
        <v>48</v>
      </c>
      <c r="M337" s="4"/>
      <c r="N337" s="4"/>
      <c r="O337" s="4"/>
      <c r="P337" s="4"/>
      <c r="Q337" s="4"/>
      <c r="R337" s="4"/>
      <c r="S337" s="4"/>
      <c r="T337" s="4"/>
      <c r="U337" s="29" t="str">
        <f t="shared" si="46"/>
        <v/>
      </c>
      <c r="V337" s="4" t="str">
        <f t="shared" si="47"/>
        <v/>
      </c>
      <c r="W337" s="4" t="str">
        <f t="shared" si="48"/>
        <v/>
      </c>
      <c r="X337" s="4" t="str">
        <f t="shared" si="49"/>
        <v>2</v>
      </c>
      <c r="Y337" s="4" t="str">
        <f t="shared" si="50"/>
        <v/>
      </c>
      <c r="Z337" s="4"/>
      <c r="AA337" s="4"/>
      <c r="AB337" s="4">
        <v>256</v>
      </c>
      <c r="AC337" s="4" t="s">
        <v>389</v>
      </c>
      <c r="AD337" s="4">
        <v>32000</v>
      </c>
      <c r="AE337" s="4">
        <v>4094</v>
      </c>
      <c r="AF337" s="4"/>
    </row>
    <row r="338" spans="1:32" x14ac:dyDescent="0.2">
      <c r="A338" s="2" t="str">
        <f>IF(D338="Fixed",C338,C338&amp;"-"&amp;E338)</f>
        <v>C9500-32C-A</v>
      </c>
      <c r="B338" s="2" t="s">
        <v>135</v>
      </c>
      <c r="C338" s="2" t="s">
        <v>115</v>
      </c>
      <c r="D338" s="2" t="s">
        <v>128</v>
      </c>
      <c r="E338" s="2"/>
      <c r="F338" s="2" t="s">
        <v>448</v>
      </c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>
        <v>32</v>
      </c>
      <c r="U338" s="2"/>
      <c r="V338" s="2"/>
      <c r="W338" s="2"/>
      <c r="X338" s="2"/>
      <c r="Y338" s="2"/>
      <c r="Z338" s="2"/>
      <c r="AA338" s="2"/>
      <c r="AB338" s="31">
        <v>6400</v>
      </c>
      <c r="AC338" s="4" t="s">
        <v>389</v>
      </c>
      <c r="AD338" s="2">
        <v>82000</v>
      </c>
      <c r="AE338" s="4">
        <v>4094</v>
      </c>
      <c r="AF338" s="2" t="s">
        <v>503</v>
      </c>
    </row>
    <row r="339" spans="1:32" x14ac:dyDescent="0.2">
      <c r="A339" s="2" t="str">
        <f t="shared" ref="A339:A347" si="51">IF(D339="Fixed",C339,C339&amp;"-"&amp;E339)</f>
        <v>C9500-32QC-A</v>
      </c>
      <c r="B339" s="2" t="s">
        <v>135</v>
      </c>
      <c r="C339" s="2" t="s">
        <v>116</v>
      </c>
      <c r="D339" s="2" t="s">
        <v>128</v>
      </c>
      <c r="E339" s="2"/>
      <c r="F339" s="2" t="s">
        <v>448</v>
      </c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>
        <v>32</v>
      </c>
      <c r="T339" s="2"/>
      <c r="U339" s="2"/>
      <c r="V339" s="2"/>
      <c r="W339" s="2"/>
      <c r="X339" s="2"/>
      <c r="Y339" s="2"/>
      <c r="Z339" s="2"/>
      <c r="AA339" s="2"/>
      <c r="AB339" s="31">
        <v>3200</v>
      </c>
      <c r="AC339" s="4" t="s">
        <v>389</v>
      </c>
      <c r="AD339" s="2">
        <v>82000</v>
      </c>
      <c r="AE339" s="4">
        <v>4094</v>
      </c>
      <c r="AF339" s="2" t="s">
        <v>504</v>
      </c>
    </row>
    <row r="340" spans="1:32" x14ac:dyDescent="0.2">
      <c r="A340" s="2" t="str">
        <f t="shared" si="51"/>
        <v>C9500-48Y4C-A</v>
      </c>
      <c r="B340" s="2" t="s">
        <v>135</v>
      </c>
      <c r="C340" s="2" t="s">
        <v>117</v>
      </c>
      <c r="D340" s="2" t="s">
        <v>128</v>
      </c>
      <c r="E340" s="2"/>
      <c r="F340" s="2" t="s">
        <v>448</v>
      </c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>
        <v>48</v>
      </c>
      <c r="S340" s="2"/>
      <c r="T340" s="2"/>
      <c r="U340" s="2"/>
      <c r="V340" s="2"/>
      <c r="W340" s="2"/>
      <c r="X340" s="2"/>
      <c r="Y340" s="2"/>
      <c r="Z340" s="2"/>
      <c r="AA340" s="2"/>
      <c r="AB340" s="31">
        <v>3200</v>
      </c>
      <c r="AC340" s="4" t="s">
        <v>389</v>
      </c>
      <c r="AD340" s="2">
        <v>82000</v>
      </c>
      <c r="AE340" s="4">
        <v>4094</v>
      </c>
      <c r="AF340" s="2" t="s">
        <v>505</v>
      </c>
    </row>
    <row r="341" spans="1:32" x14ac:dyDescent="0.2">
      <c r="A341" s="2" t="str">
        <f t="shared" si="51"/>
        <v>C9500-24Y4C-A</v>
      </c>
      <c r="B341" s="2" t="s">
        <v>135</v>
      </c>
      <c r="C341" s="2" t="s">
        <v>118</v>
      </c>
      <c r="D341" s="2" t="s">
        <v>128</v>
      </c>
      <c r="E341" s="2"/>
      <c r="F341" s="2" t="s">
        <v>448</v>
      </c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>
        <v>24</v>
      </c>
      <c r="S341" s="2"/>
      <c r="T341" s="2"/>
      <c r="U341" s="2"/>
      <c r="V341" s="2"/>
      <c r="W341" s="2"/>
      <c r="X341" s="2"/>
      <c r="Y341" s="2"/>
      <c r="Z341" s="2"/>
      <c r="AA341" s="2"/>
      <c r="AB341" s="31">
        <v>2000</v>
      </c>
      <c r="AC341" s="4" t="s">
        <v>389</v>
      </c>
      <c r="AD341" s="2">
        <v>82000</v>
      </c>
      <c r="AE341" s="4">
        <v>4094</v>
      </c>
      <c r="AF341" s="2" t="s">
        <v>506</v>
      </c>
    </row>
    <row r="342" spans="1:32" x14ac:dyDescent="0.2">
      <c r="A342" s="2" t="str">
        <f t="shared" si="51"/>
        <v>C9500-24Q-A</v>
      </c>
      <c r="B342" s="2" t="s">
        <v>135</v>
      </c>
      <c r="C342" s="2" t="s">
        <v>119</v>
      </c>
      <c r="D342" s="2" t="s">
        <v>128</v>
      </c>
      <c r="E342" s="2"/>
      <c r="F342" s="2" t="s">
        <v>448</v>
      </c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>
        <v>24</v>
      </c>
      <c r="T342" s="2"/>
      <c r="U342" s="2"/>
      <c r="V342" s="2"/>
      <c r="W342" s="2"/>
      <c r="X342" s="2"/>
      <c r="Y342" s="2"/>
      <c r="Z342" s="2"/>
      <c r="AA342" s="2"/>
      <c r="AB342" s="2">
        <v>1920</v>
      </c>
      <c r="AC342" s="4" t="s">
        <v>389</v>
      </c>
      <c r="AD342" s="2">
        <v>64000</v>
      </c>
      <c r="AE342" s="4">
        <v>4094</v>
      </c>
      <c r="AF342" s="2" t="s">
        <v>509</v>
      </c>
    </row>
    <row r="343" spans="1:32" x14ac:dyDescent="0.2">
      <c r="A343" s="2" t="str">
        <f t="shared" si="51"/>
        <v>C9500-12Q-A</v>
      </c>
      <c r="B343" s="2" t="s">
        <v>135</v>
      </c>
      <c r="C343" s="2" t="s">
        <v>120</v>
      </c>
      <c r="D343" s="2" t="s">
        <v>128</v>
      </c>
      <c r="E343" s="2"/>
      <c r="F343" s="2" t="s">
        <v>448</v>
      </c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>
        <v>12</v>
      </c>
      <c r="T343" s="2"/>
      <c r="U343" s="2"/>
      <c r="V343" s="2"/>
      <c r="W343" s="2"/>
      <c r="X343" s="2"/>
      <c r="Y343" s="2"/>
      <c r="Z343" s="2"/>
      <c r="AA343" s="2"/>
      <c r="AB343" s="2">
        <v>960</v>
      </c>
      <c r="AC343" s="4" t="s">
        <v>389</v>
      </c>
      <c r="AD343" s="2">
        <v>64000</v>
      </c>
      <c r="AE343" s="4">
        <v>4094</v>
      </c>
      <c r="AF343" s="2" t="s">
        <v>510</v>
      </c>
    </row>
    <row r="344" spans="1:32" x14ac:dyDescent="0.2">
      <c r="A344" s="2" t="str">
        <f t="shared" si="51"/>
        <v>C9500-40X-A-C9500-NM-8X</v>
      </c>
      <c r="B344" s="2" t="s">
        <v>135</v>
      </c>
      <c r="C344" s="2" t="s">
        <v>121</v>
      </c>
      <c r="D344" s="2" t="s">
        <v>129</v>
      </c>
      <c r="E344" s="4" t="s">
        <v>507</v>
      </c>
      <c r="F344" s="2" t="s">
        <v>448</v>
      </c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>
        <v>40</v>
      </c>
      <c r="R344" s="2"/>
      <c r="S344" s="2"/>
      <c r="T344" s="2"/>
      <c r="U344" s="2"/>
      <c r="V344" s="2"/>
      <c r="W344" s="2">
        <v>8</v>
      </c>
      <c r="X344" s="2"/>
      <c r="Y344" s="2"/>
      <c r="Z344" s="2"/>
      <c r="AA344" s="2"/>
      <c r="AB344" s="2">
        <v>960</v>
      </c>
      <c r="AC344" s="4" t="s">
        <v>389</v>
      </c>
      <c r="AD344" s="2">
        <v>64000</v>
      </c>
      <c r="AE344" s="4">
        <v>4094</v>
      </c>
      <c r="AF344" s="2"/>
    </row>
    <row r="345" spans="1:32" x14ac:dyDescent="0.2">
      <c r="A345" s="2" t="str">
        <f t="shared" ref="A345" si="52">IF(D345="Fixed",C345,C345&amp;"-"&amp;E345)</f>
        <v>C9500-40X-A-C9500-NM-2Q</v>
      </c>
      <c r="B345" s="2" t="s">
        <v>135</v>
      </c>
      <c r="C345" s="2" t="s">
        <v>121</v>
      </c>
      <c r="D345" s="2" t="s">
        <v>129</v>
      </c>
      <c r="E345" s="4" t="s">
        <v>508</v>
      </c>
      <c r="F345" s="2" t="s">
        <v>448</v>
      </c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>
        <v>40</v>
      </c>
      <c r="R345" s="2"/>
      <c r="S345" s="2"/>
      <c r="T345" s="2"/>
      <c r="U345" s="2"/>
      <c r="V345" s="2"/>
      <c r="W345" s="2"/>
      <c r="X345" s="2">
        <v>2</v>
      </c>
      <c r="Y345" s="2"/>
      <c r="Z345" s="2"/>
      <c r="AA345" s="2"/>
      <c r="AB345" s="2">
        <v>960</v>
      </c>
      <c r="AC345" s="4" t="s">
        <v>389</v>
      </c>
      <c r="AD345" s="2">
        <v>64000</v>
      </c>
      <c r="AE345" s="4">
        <v>4094</v>
      </c>
      <c r="AF345" s="2"/>
    </row>
    <row r="346" spans="1:32" x14ac:dyDescent="0.2">
      <c r="A346" s="2" t="str">
        <f t="shared" ref="A346" si="53">IF(D346="Fixed",C346,C346&amp;"-"&amp;E346)</f>
        <v>C9500-16X-A-C9500-NM-8X</v>
      </c>
      <c r="B346" s="2" t="s">
        <v>135</v>
      </c>
      <c r="C346" s="2" t="s">
        <v>122</v>
      </c>
      <c r="D346" s="2" t="s">
        <v>129</v>
      </c>
      <c r="E346" s="4" t="s">
        <v>507</v>
      </c>
      <c r="F346" s="2" t="s">
        <v>448</v>
      </c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>
        <v>16</v>
      </c>
      <c r="R346" s="2"/>
      <c r="S346" s="2"/>
      <c r="T346" s="2"/>
      <c r="U346" s="2"/>
      <c r="V346" s="2"/>
      <c r="W346" s="2">
        <v>8</v>
      </c>
      <c r="X346" s="2"/>
      <c r="Y346" s="2"/>
      <c r="Z346" s="2"/>
      <c r="AA346" s="2"/>
      <c r="AB346" s="2">
        <v>480</v>
      </c>
      <c r="AC346" s="4" t="s">
        <v>389</v>
      </c>
      <c r="AD346" s="2">
        <v>64000</v>
      </c>
      <c r="AE346" s="4">
        <v>4094</v>
      </c>
      <c r="AF346" s="2"/>
    </row>
    <row r="347" spans="1:32" x14ac:dyDescent="0.2">
      <c r="A347" s="2" t="str">
        <f t="shared" si="51"/>
        <v>C9500-16X-A-C9500-NM-2Q</v>
      </c>
      <c r="B347" s="2" t="s">
        <v>135</v>
      </c>
      <c r="C347" s="2" t="s">
        <v>122</v>
      </c>
      <c r="D347" s="2" t="s">
        <v>129</v>
      </c>
      <c r="E347" s="4" t="s">
        <v>508</v>
      </c>
      <c r="F347" s="2" t="s">
        <v>448</v>
      </c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>
        <v>16</v>
      </c>
      <c r="R347" s="2"/>
      <c r="S347" s="2"/>
      <c r="T347" s="2"/>
      <c r="U347" s="2"/>
      <c r="V347" s="2"/>
      <c r="W347" s="2"/>
      <c r="X347" s="2">
        <v>2</v>
      </c>
      <c r="Y347" s="2"/>
      <c r="Z347" s="2"/>
      <c r="AA347" s="2"/>
      <c r="AB347" s="2">
        <v>480</v>
      </c>
      <c r="AC347" s="4" t="s">
        <v>389</v>
      </c>
      <c r="AD347" s="2">
        <v>64000</v>
      </c>
      <c r="AE347" s="4">
        <v>4094</v>
      </c>
      <c r="AF347" s="2"/>
    </row>
  </sheetData>
  <mergeCells count="16">
    <mergeCell ref="G2:T2"/>
    <mergeCell ref="B1:E1"/>
    <mergeCell ref="AF1:AF3"/>
    <mergeCell ref="A1:A3"/>
    <mergeCell ref="F1:AE1"/>
    <mergeCell ref="F2:F3"/>
    <mergeCell ref="U2:Z2"/>
    <mergeCell ref="AA2:AA3"/>
    <mergeCell ref="AB2:AB3"/>
    <mergeCell ref="AC2:AC3"/>
    <mergeCell ref="AD2:AD3"/>
    <mergeCell ref="AE2:AE3"/>
    <mergeCell ref="B2:B3"/>
    <mergeCell ref="C2:C3"/>
    <mergeCell ref="D2:D3"/>
    <mergeCell ref="E2:E3"/>
  </mergeCells>
  <phoneticPr fontId="3" type="noConversion"/>
  <conditionalFormatting sqref="A50">
    <cfRule type="duplicateValues" dxfId="116" priority="42"/>
  </conditionalFormatting>
  <conditionalFormatting sqref="A51">
    <cfRule type="duplicateValues" dxfId="115" priority="41"/>
  </conditionalFormatting>
  <conditionalFormatting sqref="A52">
    <cfRule type="duplicateValues" dxfId="114" priority="40"/>
  </conditionalFormatting>
  <conditionalFormatting sqref="A338:A344 A164:A198 A150:A159 A1 A4:A111 A113 A115:A125 A204:A213 A347:A1048576">
    <cfRule type="duplicateValues" dxfId="113" priority="197"/>
  </conditionalFormatting>
  <conditionalFormatting sqref="A112">
    <cfRule type="duplicateValues" dxfId="112" priority="36"/>
  </conditionalFormatting>
  <conditionalFormatting sqref="A112">
    <cfRule type="duplicateValues" dxfId="111" priority="37"/>
  </conditionalFormatting>
  <conditionalFormatting sqref="A114">
    <cfRule type="duplicateValues" dxfId="110" priority="34"/>
  </conditionalFormatting>
  <conditionalFormatting sqref="A114">
    <cfRule type="duplicateValues" dxfId="109" priority="35"/>
  </conditionalFormatting>
  <conditionalFormatting sqref="A126:A129">
    <cfRule type="duplicateValues" dxfId="108" priority="32"/>
  </conditionalFormatting>
  <conditionalFormatting sqref="A126:A129">
    <cfRule type="duplicateValues" dxfId="107" priority="33"/>
  </conditionalFormatting>
  <conditionalFormatting sqref="A130:A143 A145 A147:A149">
    <cfRule type="duplicateValues" dxfId="106" priority="30"/>
  </conditionalFormatting>
  <conditionalFormatting sqref="A130:A143 A145 A147:A149">
    <cfRule type="duplicateValues" dxfId="105" priority="31"/>
  </conditionalFormatting>
  <conditionalFormatting sqref="A144">
    <cfRule type="duplicateValues" dxfId="104" priority="28"/>
  </conditionalFormatting>
  <conditionalFormatting sqref="A144">
    <cfRule type="duplicateValues" dxfId="103" priority="29"/>
  </conditionalFormatting>
  <conditionalFormatting sqref="A146">
    <cfRule type="duplicateValues" dxfId="102" priority="26"/>
  </conditionalFormatting>
  <conditionalFormatting sqref="A146">
    <cfRule type="duplicateValues" dxfId="101" priority="27"/>
  </conditionalFormatting>
  <conditionalFormatting sqref="A160:A163">
    <cfRule type="duplicateValues" dxfId="100" priority="24"/>
  </conditionalFormatting>
  <conditionalFormatting sqref="A199:A203">
    <cfRule type="duplicateValues" dxfId="99" priority="22"/>
  </conditionalFormatting>
  <conditionalFormatting sqref="A199:A203">
    <cfRule type="duplicateValues" dxfId="98" priority="23"/>
  </conditionalFormatting>
  <conditionalFormatting sqref="A214:A223">
    <cfRule type="duplicateValues" dxfId="97" priority="20"/>
  </conditionalFormatting>
  <conditionalFormatting sqref="A214:A223">
    <cfRule type="duplicateValues" dxfId="96" priority="21"/>
  </conditionalFormatting>
  <conditionalFormatting sqref="A224:A233">
    <cfRule type="duplicateValues" dxfId="95" priority="18"/>
  </conditionalFormatting>
  <conditionalFormatting sqref="A224:A233">
    <cfRule type="duplicateValues" dxfId="94" priority="19"/>
  </conditionalFormatting>
  <conditionalFormatting sqref="A234:A243">
    <cfRule type="duplicateValues" dxfId="93" priority="16"/>
  </conditionalFormatting>
  <conditionalFormatting sqref="A234:A243">
    <cfRule type="duplicateValues" dxfId="92" priority="17"/>
  </conditionalFormatting>
  <conditionalFormatting sqref="A258:A292 A244:A253 A298:A307">
    <cfRule type="duplicateValues" dxfId="91" priority="14"/>
  </conditionalFormatting>
  <conditionalFormatting sqref="A244:A253 A258:A292 A298:A307">
    <cfRule type="duplicateValues" dxfId="90" priority="15"/>
  </conditionalFormatting>
  <conditionalFormatting sqref="A254:A257">
    <cfRule type="duplicateValues" dxfId="89" priority="13"/>
  </conditionalFormatting>
  <conditionalFormatting sqref="A293:A297">
    <cfRule type="duplicateValues" dxfId="88" priority="11"/>
  </conditionalFormatting>
  <conditionalFormatting sqref="A293:A297">
    <cfRule type="duplicateValues" dxfId="87" priority="12"/>
  </conditionalFormatting>
  <conditionalFormatting sqref="A308:A317">
    <cfRule type="duplicateValues" dxfId="86" priority="9"/>
  </conditionalFormatting>
  <conditionalFormatting sqref="A308:A317">
    <cfRule type="duplicateValues" dxfId="85" priority="10"/>
  </conditionalFormatting>
  <conditionalFormatting sqref="A318:A327">
    <cfRule type="duplicateValues" dxfId="84" priority="7"/>
  </conditionalFormatting>
  <conditionalFormatting sqref="A318:A327">
    <cfRule type="duplicateValues" dxfId="83" priority="8"/>
  </conditionalFormatting>
  <conditionalFormatting sqref="A328:A337">
    <cfRule type="duplicateValues" dxfId="82" priority="5"/>
  </conditionalFormatting>
  <conditionalFormatting sqref="A328:A337">
    <cfRule type="duplicateValues" dxfId="81" priority="6"/>
  </conditionalFormatting>
  <conditionalFormatting sqref="A4:A49 A53:A111 A113 A115:A125 A150:A159 A164:A198 A204:A213 A338:A344 A347">
    <cfRule type="duplicateValues" dxfId="80" priority="208"/>
  </conditionalFormatting>
  <conditionalFormatting sqref="A346">
    <cfRule type="duplicateValues" dxfId="79" priority="3"/>
  </conditionalFormatting>
  <conditionalFormatting sqref="A346">
    <cfRule type="duplicateValues" dxfId="78" priority="4"/>
  </conditionalFormatting>
  <conditionalFormatting sqref="A345">
    <cfRule type="duplicateValues" dxfId="77" priority="1"/>
  </conditionalFormatting>
  <conditionalFormatting sqref="A345">
    <cfRule type="duplicateValues" dxfId="76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CF9F9-56F1-6148-84AB-BE8BA2E98527}">
  <sheetPr codeName="Sheet4"/>
  <dimension ref="A1:AF195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80" sqref="B80"/>
    </sheetView>
  </sheetViews>
  <sheetFormatPr baseColWidth="10" defaultRowHeight="16" outlineLevelCol="3" x14ac:dyDescent="0.2"/>
  <cols>
    <col min="1" max="1" width="32.33203125" bestFit="1" customWidth="1"/>
    <col min="2" max="2" width="11.6640625" customWidth="1"/>
    <col min="3" max="3" width="19" customWidth="1"/>
    <col min="4" max="4" width="13.1640625" customWidth="1"/>
    <col min="5" max="6" width="15.5" customWidth="1"/>
    <col min="7" max="7" width="15.1640625" customWidth="1" outlineLevel="1"/>
    <col min="8" max="20" width="12.33203125" customWidth="1" outlineLevel="3"/>
    <col min="21" max="21" width="13" customWidth="1" outlineLevel="1"/>
    <col min="22" max="26" width="13" customWidth="1" outlineLevel="2"/>
    <col min="27" max="31" width="18.5" customWidth="1" outlineLevel="1"/>
    <col min="32" max="32" width="54.5" customWidth="1"/>
  </cols>
  <sheetData>
    <row r="1" spans="1:32" x14ac:dyDescent="0.2">
      <c r="A1" s="57" t="s">
        <v>123</v>
      </c>
      <c r="B1" s="60" t="s">
        <v>174</v>
      </c>
      <c r="C1" s="61"/>
      <c r="D1" s="61"/>
      <c r="E1" s="62"/>
      <c r="F1" s="69" t="s">
        <v>175</v>
      </c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1"/>
      <c r="AF1" s="63" t="s">
        <v>136</v>
      </c>
    </row>
    <row r="2" spans="1:32" x14ac:dyDescent="0.2">
      <c r="A2" s="58"/>
      <c r="B2" s="63" t="s">
        <v>125</v>
      </c>
      <c r="C2" s="63" t="s">
        <v>124</v>
      </c>
      <c r="D2" s="63" t="s">
        <v>127</v>
      </c>
      <c r="E2" s="63" t="s">
        <v>126</v>
      </c>
      <c r="F2" s="63" t="s">
        <v>351</v>
      </c>
      <c r="G2" s="67" t="s">
        <v>142</v>
      </c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72" t="s">
        <v>143</v>
      </c>
      <c r="V2" s="73"/>
      <c r="W2" s="73"/>
      <c r="X2" s="73"/>
      <c r="Y2" s="73"/>
      <c r="Z2" s="74"/>
      <c r="AA2" s="75" t="s">
        <v>170</v>
      </c>
      <c r="AB2" s="75" t="s">
        <v>171</v>
      </c>
      <c r="AC2" s="75" t="s">
        <v>366</v>
      </c>
      <c r="AD2" s="75" t="s">
        <v>172</v>
      </c>
      <c r="AE2" s="75" t="s">
        <v>173</v>
      </c>
      <c r="AF2" s="64"/>
    </row>
    <row r="3" spans="1:32" x14ac:dyDescent="0.2">
      <c r="A3" s="59"/>
      <c r="B3" s="66"/>
      <c r="C3" s="66"/>
      <c r="D3" s="66"/>
      <c r="E3" s="66"/>
      <c r="F3" s="66"/>
      <c r="G3" s="9" t="s">
        <v>148</v>
      </c>
      <c r="H3" s="9" t="s">
        <v>149</v>
      </c>
      <c r="I3" s="9" t="s">
        <v>150</v>
      </c>
      <c r="J3" s="9" t="s">
        <v>151</v>
      </c>
      <c r="K3" s="9" t="s">
        <v>487</v>
      </c>
      <c r="L3" s="9" t="s">
        <v>152</v>
      </c>
      <c r="M3" s="9" t="s">
        <v>379</v>
      </c>
      <c r="N3" s="9" t="s">
        <v>153</v>
      </c>
      <c r="O3" s="9" t="s">
        <v>154</v>
      </c>
      <c r="P3" s="9" t="s">
        <v>155</v>
      </c>
      <c r="Q3" s="9" t="s">
        <v>160</v>
      </c>
      <c r="R3" s="9" t="s">
        <v>161</v>
      </c>
      <c r="S3" s="9" t="s">
        <v>164</v>
      </c>
      <c r="T3" s="9" t="s">
        <v>357</v>
      </c>
      <c r="U3" s="13" t="s">
        <v>152</v>
      </c>
      <c r="V3" s="13" t="s">
        <v>162</v>
      </c>
      <c r="W3" s="13" t="s">
        <v>160</v>
      </c>
      <c r="X3" s="13" t="s">
        <v>163</v>
      </c>
      <c r="Y3" s="13" t="s">
        <v>164</v>
      </c>
      <c r="Z3" s="13" t="s">
        <v>357</v>
      </c>
      <c r="AA3" s="76"/>
      <c r="AB3" s="76"/>
      <c r="AC3" s="76"/>
      <c r="AD3" s="76"/>
      <c r="AE3" s="76"/>
      <c r="AF3" s="65"/>
    </row>
    <row r="4" spans="1:32" x14ac:dyDescent="0.2">
      <c r="A4" s="10" t="str">
        <f>IF(D4="Fixed",C4,C4&amp;"-"&amp;E4)</f>
        <v>MS120-8-HW</v>
      </c>
      <c r="B4" s="11" t="s">
        <v>312</v>
      </c>
      <c r="C4" s="12" t="s">
        <v>313</v>
      </c>
      <c r="D4" s="11" t="s">
        <v>128</v>
      </c>
      <c r="E4" s="11"/>
      <c r="F4" s="11" t="s">
        <v>352</v>
      </c>
      <c r="G4" s="11">
        <v>8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>
        <v>2</v>
      </c>
      <c r="V4" s="11"/>
      <c r="W4" s="11"/>
      <c r="X4" s="11"/>
      <c r="Y4" s="11"/>
      <c r="Z4" s="11"/>
      <c r="AA4" s="11"/>
      <c r="AB4" s="11">
        <v>20</v>
      </c>
      <c r="AC4" s="11" t="s">
        <v>390</v>
      </c>
      <c r="AD4" s="11">
        <v>16000</v>
      </c>
      <c r="AE4" s="11">
        <v>4094</v>
      </c>
      <c r="AF4" s="11"/>
    </row>
    <row r="5" spans="1:32" x14ac:dyDescent="0.2">
      <c r="A5" s="10" t="str">
        <f t="shared" ref="A5:A73" si="0">IF(D5="Fixed",C5,C5&amp;"-"&amp;E5)</f>
        <v>MS120-8LP-HW</v>
      </c>
      <c r="B5" s="11" t="s">
        <v>312</v>
      </c>
      <c r="C5" s="12" t="s">
        <v>314</v>
      </c>
      <c r="D5" s="11" t="s">
        <v>128</v>
      </c>
      <c r="E5" s="11"/>
      <c r="F5" s="11" t="s">
        <v>352</v>
      </c>
      <c r="G5" s="11"/>
      <c r="H5" s="11"/>
      <c r="I5" s="11">
        <v>8</v>
      </c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>
        <v>2</v>
      </c>
      <c r="V5" s="11"/>
      <c r="W5" s="11"/>
      <c r="X5" s="11"/>
      <c r="Y5" s="11"/>
      <c r="Z5" s="11"/>
      <c r="AA5" s="11">
        <v>88</v>
      </c>
      <c r="AB5" s="11">
        <v>20</v>
      </c>
      <c r="AC5" s="11" t="s">
        <v>390</v>
      </c>
      <c r="AD5" s="11">
        <v>16000</v>
      </c>
      <c r="AE5" s="11">
        <v>4094</v>
      </c>
      <c r="AF5" s="11"/>
    </row>
    <row r="6" spans="1:32" x14ac:dyDescent="0.2">
      <c r="A6" s="10" t="str">
        <f t="shared" si="0"/>
        <v>MS120-8FP-HW</v>
      </c>
      <c r="B6" s="11" t="s">
        <v>312</v>
      </c>
      <c r="C6" s="12" t="s">
        <v>311</v>
      </c>
      <c r="D6" s="11" t="s">
        <v>128</v>
      </c>
      <c r="E6" s="11"/>
      <c r="F6" s="11" t="s">
        <v>352</v>
      </c>
      <c r="G6" s="11"/>
      <c r="H6" s="11"/>
      <c r="I6" s="11">
        <v>8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>
        <v>2</v>
      </c>
      <c r="V6" s="11"/>
      <c r="W6" s="11"/>
      <c r="X6" s="11"/>
      <c r="Y6" s="11"/>
      <c r="Z6" s="11"/>
      <c r="AA6" s="11">
        <v>162</v>
      </c>
      <c r="AB6" s="11">
        <v>20</v>
      </c>
      <c r="AC6" s="11" t="s">
        <v>390</v>
      </c>
      <c r="AD6" s="11">
        <v>16000</v>
      </c>
      <c r="AE6" s="11">
        <v>4094</v>
      </c>
      <c r="AF6" s="11"/>
    </row>
    <row r="7" spans="1:32" ht="17" x14ac:dyDescent="0.2">
      <c r="A7" s="10" t="str">
        <f t="shared" si="0"/>
        <v>MS120-24-HW</v>
      </c>
      <c r="B7" s="27" t="s">
        <v>312</v>
      </c>
      <c r="C7" s="12" t="s">
        <v>330</v>
      </c>
      <c r="D7" s="11" t="s">
        <v>128</v>
      </c>
      <c r="E7" s="11"/>
      <c r="F7" s="11" t="s">
        <v>352</v>
      </c>
      <c r="G7" s="11">
        <v>24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>
        <v>4</v>
      </c>
      <c r="V7" s="11"/>
      <c r="W7" s="11"/>
      <c r="X7" s="11"/>
      <c r="Y7" s="11"/>
      <c r="Z7" s="11"/>
      <c r="AA7" s="11"/>
      <c r="AB7" s="11">
        <v>56</v>
      </c>
      <c r="AC7" s="11" t="s">
        <v>390</v>
      </c>
      <c r="AD7" s="11">
        <v>16000</v>
      </c>
      <c r="AE7" s="11">
        <v>4094</v>
      </c>
      <c r="AF7" s="11"/>
    </row>
    <row r="8" spans="1:32" x14ac:dyDescent="0.2">
      <c r="A8" s="10" t="str">
        <f t="shared" si="0"/>
        <v>MS120-24P-HW</v>
      </c>
      <c r="B8" s="11" t="s">
        <v>312</v>
      </c>
      <c r="C8" s="2" t="s">
        <v>331</v>
      </c>
      <c r="D8" s="11" t="s">
        <v>128</v>
      </c>
      <c r="E8" s="11"/>
      <c r="F8" s="11" t="s">
        <v>352</v>
      </c>
      <c r="G8" s="11"/>
      <c r="H8" s="11"/>
      <c r="I8" s="11">
        <v>24</v>
      </c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>
        <v>4</v>
      </c>
      <c r="V8" s="11"/>
      <c r="W8" s="11"/>
      <c r="X8" s="11"/>
      <c r="Y8" s="11"/>
      <c r="Z8" s="11"/>
      <c r="AA8" s="11">
        <v>370</v>
      </c>
      <c r="AB8" s="11">
        <v>56</v>
      </c>
      <c r="AC8" s="11" t="s">
        <v>390</v>
      </c>
      <c r="AD8" s="11">
        <v>16000</v>
      </c>
      <c r="AE8" s="11">
        <v>4094</v>
      </c>
      <c r="AF8" s="11"/>
    </row>
    <row r="9" spans="1:32" x14ac:dyDescent="0.2">
      <c r="A9" s="10" t="str">
        <f t="shared" si="0"/>
        <v>MS120-48-HW</v>
      </c>
      <c r="B9" s="11" t="s">
        <v>312</v>
      </c>
      <c r="C9" s="12" t="s">
        <v>332</v>
      </c>
      <c r="D9" s="11" t="s">
        <v>128</v>
      </c>
      <c r="E9" s="11"/>
      <c r="F9" s="11" t="s">
        <v>352</v>
      </c>
      <c r="G9" s="11"/>
      <c r="H9" s="11"/>
      <c r="I9" s="11">
        <v>48</v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>
        <v>4</v>
      </c>
      <c r="V9" s="11"/>
      <c r="W9" s="11"/>
      <c r="X9" s="11"/>
      <c r="Y9" s="11"/>
      <c r="Z9" s="11"/>
      <c r="AA9" s="11"/>
      <c r="AB9" s="11">
        <v>104</v>
      </c>
      <c r="AC9" s="11" t="s">
        <v>390</v>
      </c>
      <c r="AD9" s="11">
        <v>32000</v>
      </c>
      <c r="AE9" s="11">
        <v>4094</v>
      </c>
      <c r="AF9" s="11"/>
    </row>
    <row r="10" spans="1:32" x14ac:dyDescent="0.2">
      <c r="A10" s="10" t="str">
        <f t="shared" si="0"/>
        <v>MS120-48LP-HW</v>
      </c>
      <c r="B10" s="11" t="s">
        <v>312</v>
      </c>
      <c r="C10" s="11" t="s">
        <v>334</v>
      </c>
      <c r="D10" s="11" t="s">
        <v>128</v>
      </c>
      <c r="E10" s="11"/>
      <c r="F10" s="11" t="s">
        <v>352</v>
      </c>
      <c r="G10" s="11"/>
      <c r="H10" s="11"/>
      <c r="I10" s="11">
        <v>48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>
        <v>4</v>
      </c>
      <c r="V10" s="11"/>
      <c r="W10" s="11"/>
      <c r="X10" s="11"/>
      <c r="Y10" s="11"/>
      <c r="Z10" s="11"/>
      <c r="AA10" s="11">
        <v>370</v>
      </c>
      <c r="AB10" s="11">
        <v>104</v>
      </c>
      <c r="AC10" s="11" t="s">
        <v>390</v>
      </c>
      <c r="AD10" s="11">
        <v>32000</v>
      </c>
      <c r="AE10" s="11">
        <v>4094</v>
      </c>
      <c r="AF10" s="11"/>
    </row>
    <row r="11" spans="1:32" x14ac:dyDescent="0.2">
      <c r="A11" s="10" t="str">
        <f t="shared" si="0"/>
        <v>MS120-48FP-HW</v>
      </c>
      <c r="B11" s="11" t="s">
        <v>312</v>
      </c>
      <c r="C11" s="11" t="s">
        <v>333</v>
      </c>
      <c r="D11" s="11" t="s">
        <v>128</v>
      </c>
      <c r="E11" s="11"/>
      <c r="F11" s="11" t="s">
        <v>352</v>
      </c>
      <c r="G11" s="11"/>
      <c r="H11" s="11"/>
      <c r="I11" s="11">
        <v>48</v>
      </c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>
        <v>4</v>
      </c>
      <c r="V11" s="11"/>
      <c r="W11" s="11"/>
      <c r="X11" s="11"/>
      <c r="Y11" s="11"/>
      <c r="Z11" s="11"/>
      <c r="AA11" s="11">
        <v>740</v>
      </c>
      <c r="AB11" s="11">
        <v>104</v>
      </c>
      <c r="AC11" s="11" t="s">
        <v>390</v>
      </c>
      <c r="AD11" s="11">
        <v>32000</v>
      </c>
      <c r="AE11" s="11">
        <v>4094</v>
      </c>
      <c r="AF11" s="11"/>
    </row>
    <row r="12" spans="1:32" x14ac:dyDescent="0.2">
      <c r="A12" s="10" t="str">
        <f t="shared" si="0"/>
        <v>MS125-24-HW</v>
      </c>
      <c r="B12" s="11" t="s">
        <v>335</v>
      </c>
      <c r="C12" s="11" t="s">
        <v>336</v>
      </c>
      <c r="D12" s="11" t="s">
        <v>128</v>
      </c>
      <c r="E12" s="11"/>
      <c r="F12" s="11" t="s">
        <v>352</v>
      </c>
      <c r="G12" s="11">
        <v>24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>
        <v>4</v>
      </c>
      <c r="X12" s="11"/>
      <c r="Y12" s="11"/>
      <c r="Z12" s="11"/>
      <c r="AA12" s="11"/>
      <c r="AB12" s="11">
        <v>128</v>
      </c>
      <c r="AC12" s="11" t="s">
        <v>390</v>
      </c>
      <c r="AD12" s="11">
        <v>16000</v>
      </c>
      <c r="AE12" s="11">
        <v>4094</v>
      </c>
      <c r="AF12" s="11"/>
    </row>
    <row r="13" spans="1:32" x14ac:dyDescent="0.2">
      <c r="A13" s="10" t="str">
        <f t="shared" si="0"/>
        <v>MS125-24P-HW</v>
      </c>
      <c r="B13" s="11" t="s">
        <v>335</v>
      </c>
      <c r="C13" s="11" t="s">
        <v>337</v>
      </c>
      <c r="D13" s="11" t="s">
        <v>128</v>
      </c>
      <c r="E13" s="11"/>
      <c r="F13" s="11" t="s">
        <v>352</v>
      </c>
      <c r="G13" s="11"/>
      <c r="H13" s="11"/>
      <c r="I13" s="11">
        <v>24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>
        <v>4</v>
      </c>
      <c r="X13" s="11"/>
      <c r="Y13" s="11"/>
      <c r="Z13" s="11"/>
      <c r="AA13" s="11">
        <v>370</v>
      </c>
      <c r="AB13" s="11">
        <v>128</v>
      </c>
      <c r="AC13" s="11" t="s">
        <v>390</v>
      </c>
      <c r="AD13" s="11">
        <v>16000</v>
      </c>
      <c r="AE13" s="11">
        <v>4094</v>
      </c>
      <c r="AF13" s="11"/>
    </row>
    <row r="14" spans="1:32" x14ac:dyDescent="0.2">
      <c r="A14" s="10" t="str">
        <f t="shared" si="0"/>
        <v>MS125-48-HW</v>
      </c>
      <c r="B14" s="11" t="s">
        <v>335</v>
      </c>
      <c r="C14" s="11" t="s">
        <v>338</v>
      </c>
      <c r="D14" s="11" t="s">
        <v>128</v>
      </c>
      <c r="E14" s="11"/>
      <c r="F14" s="11" t="s">
        <v>352</v>
      </c>
      <c r="G14" s="11">
        <v>48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>
        <v>4</v>
      </c>
      <c r="X14" s="11"/>
      <c r="Y14" s="11"/>
      <c r="Z14" s="11"/>
      <c r="AA14" s="11"/>
      <c r="AB14" s="11">
        <v>176</v>
      </c>
      <c r="AC14" s="11" t="s">
        <v>390</v>
      </c>
      <c r="AD14" s="11">
        <v>32000</v>
      </c>
      <c r="AE14" s="11">
        <v>4094</v>
      </c>
      <c r="AF14" s="11"/>
    </row>
    <row r="15" spans="1:32" x14ac:dyDescent="0.2">
      <c r="A15" s="10" t="str">
        <f t="shared" si="0"/>
        <v>MS125-48LP-HW</v>
      </c>
      <c r="B15" s="11" t="s">
        <v>335</v>
      </c>
      <c r="C15" s="11" t="s">
        <v>339</v>
      </c>
      <c r="D15" s="11" t="s">
        <v>128</v>
      </c>
      <c r="E15" s="11"/>
      <c r="F15" s="11" t="s">
        <v>352</v>
      </c>
      <c r="G15" s="11"/>
      <c r="H15" s="11"/>
      <c r="I15" s="11">
        <v>48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>
        <v>4</v>
      </c>
      <c r="X15" s="11"/>
      <c r="Y15" s="11"/>
      <c r="Z15" s="11"/>
      <c r="AA15" s="11">
        <v>370</v>
      </c>
      <c r="AB15" s="11">
        <v>176</v>
      </c>
      <c r="AC15" s="11" t="s">
        <v>390</v>
      </c>
      <c r="AD15" s="11">
        <v>32000</v>
      </c>
      <c r="AE15" s="11">
        <v>4094</v>
      </c>
      <c r="AF15" s="11"/>
    </row>
    <row r="16" spans="1:32" x14ac:dyDescent="0.2">
      <c r="A16" s="10" t="str">
        <f t="shared" si="0"/>
        <v>MS125-48FP-HW</v>
      </c>
      <c r="B16" s="11" t="s">
        <v>335</v>
      </c>
      <c r="C16" s="11" t="s">
        <v>340</v>
      </c>
      <c r="D16" s="11" t="s">
        <v>128</v>
      </c>
      <c r="E16" s="11"/>
      <c r="F16" s="11" t="s">
        <v>352</v>
      </c>
      <c r="G16" s="11"/>
      <c r="H16" s="11"/>
      <c r="I16" s="11">
        <v>48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>
        <v>4</v>
      </c>
      <c r="X16" s="11"/>
      <c r="Y16" s="11"/>
      <c r="Z16" s="11"/>
      <c r="AA16" s="11">
        <v>740</v>
      </c>
      <c r="AB16" s="11">
        <v>176</v>
      </c>
      <c r="AC16" s="11" t="s">
        <v>390</v>
      </c>
      <c r="AD16" s="11">
        <v>32000</v>
      </c>
      <c r="AE16" s="11">
        <v>4094</v>
      </c>
      <c r="AF16" s="11"/>
    </row>
    <row r="17" spans="1:32" x14ac:dyDescent="0.2">
      <c r="A17" s="10" t="str">
        <f t="shared" si="0"/>
        <v>MS210-24-HW</v>
      </c>
      <c r="B17" s="11" t="s">
        <v>310</v>
      </c>
      <c r="C17" s="12" t="s">
        <v>177</v>
      </c>
      <c r="D17" s="11" t="s">
        <v>128</v>
      </c>
      <c r="E17" s="11"/>
      <c r="F17" s="11" t="s">
        <v>352</v>
      </c>
      <c r="G17" s="11">
        <v>24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>
        <v>4</v>
      </c>
      <c r="V17" s="11"/>
      <c r="W17" s="11"/>
      <c r="X17" s="11"/>
      <c r="Y17" s="11"/>
      <c r="Z17" s="11"/>
      <c r="AA17" s="11"/>
      <c r="AB17" s="11">
        <v>56</v>
      </c>
      <c r="AC17" s="11" t="s">
        <v>389</v>
      </c>
      <c r="AD17" s="11">
        <v>16000</v>
      </c>
      <c r="AE17" s="11">
        <v>4094</v>
      </c>
      <c r="AF17" s="11"/>
    </row>
    <row r="18" spans="1:32" x14ac:dyDescent="0.2">
      <c r="A18" s="10" t="str">
        <f t="shared" si="0"/>
        <v>MS210-24P-HW</v>
      </c>
      <c r="B18" s="11" t="s">
        <v>310</v>
      </c>
      <c r="C18" s="12" t="s">
        <v>178</v>
      </c>
      <c r="D18" s="11" t="s">
        <v>128</v>
      </c>
      <c r="E18" s="11"/>
      <c r="F18" s="11" t="s">
        <v>352</v>
      </c>
      <c r="G18" s="11"/>
      <c r="H18" s="11"/>
      <c r="I18" s="11">
        <v>24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>
        <v>4</v>
      </c>
      <c r="V18" s="11"/>
      <c r="W18" s="11"/>
      <c r="X18" s="11"/>
      <c r="Y18" s="11"/>
      <c r="Z18" s="11"/>
      <c r="AA18" s="11">
        <v>370</v>
      </c>
      <c r="AB18" s="11">
        <v>56</v>
      </c>
      <c r="AC18" s="11" t="s">
        <v>389</v>
      </c>
      <c r="AD18" s="11">
        <v>16000</v>
      </c>
      <c r="AE18" s="11">
        <v>4094</v>
      </c>
      <c r="AF18" s="11"/>
    </row>
    <row r="19" spans="1:32" x14ac:dyDescent="0.2">
      <c r="A19" s="10" t="str">
        <f t="shared" si="0"/>
        <v>MS210-48-HW</v>
      </c>
      <c r="B19" s="11" t="s">
        <v>310</v>
      </c>
      <c r="C19" s="12" t="s">
        <v>179</v>
      </c>
      <c r="D19" s="11" t="s">
        <v>128</v>
      </c>
      <c r="E19" s="11"/>
      <c r="F19" s="11" t="s">
        <v>352</v>
      </c>
      <c r="G19" s="11">
        <v>48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>
        <v>4</v>
      </c>
      <c r="V19" s="11"/>
      <c r="W19" s="11"/>
      <c r="X19" s="11"/>
      <c r="Y19" s="11"/>
      <c r="Z19" s="11"/>
      <c r="AA19" s="11"/>
      <c r="AB19" s="11">
        <v>104</v>
      </c>
      <c r="AC19" s="11" t="s">
        <v>389</v>
      </c>
      <c r="AD19" s="11">
        <v>32000</v>
      </c>
      <c r="AE19" s="11">
        <v>4094</v>
      </c>
      <c r="AF19" s="11"/>
    </row>
    <row r="20" spans="1:32" x14ac:dyDescent="0.2">
      <c r="A20" s="10" t="str">
        <f t="shared" si="0"/>
        <v>MS210-48LP-HW</v>
      </c>
      <c r="B20" s="11" t="s">
        <v>310</v>
      </c>
      <c r="C20" s="12" t="s">
        <v>189</v>
      </c>
      <c r="D20" s="11" t="s">
        <v>128</v>
      </c>
      <c r="E20" s="11"/>
      <c r="F20" s="11" t="s">
        <v>352</v>
      </c>
      <c r="G20" s="11"/>
      <c r="H20" s="11"/>
      <c r="I20" s="11">
        <v>48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>
        <v>4</v>
      </c>
      <c r="V20" s="11"/>
      <c r="W20" s="11"/>
      <c r="X20" s="11"/>
      <c r="Y20" s="11"/>
      <c r="Z20" s="11"/>
      <c r="AA20" s="11">
        <v>370</v>
      </c>
      <c r="AB20" s="11">
        <v>104</v>
      </c>
      <c r="AC20" s="11" t="s">
        <v>389</v>
      </c>
      <c r="AD20" s="11">
        <v>32000</v>
      </c>
      <c r="AE20" s="11">
        <v>4094</v>
      </c>
      <c r="AF20" s="11"/>
    </row>
    <row r="21" spans="1:32" x14ac:dyDescent="0.2">
      <c r="A21" s="10" t="str">
        <f t="shared" si="0"/>
        <v>MS210-48FP-HW</v>
      </c>
      <c r="B21" s="11" t="s">
        <v>310</v>
      </c>
      <c r="C21" s="12" t="s">
        <v>180</v>
      </c>
      <c r="D21" s="11" t="s">
        <v>128</v>
      </c>
      <c r="E21" s="11"/>
      <c r="F21" s="11" t="s">
        <v>352</v>
      </c>
      <c r="G21" s="11"/>
      <c r="H21" s="11"/>
      <c r="I21" s="11">
        <v>48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>
        <v>4</v>
      </c>
      <c r="V21" s="11"/>
      <c r="W21" s="11"/>
      <c r="X21" s="11"/>
      <c r="Y21" s="11"/>
      <c r="Z21" s="11"/>
      <c r="AA21" s="11">
        <v>740</v>
      </c>
      <c r="AB21" s="11">
        <v>104</v>
      </c>
      <c r="AC21" s="11" t="s">
        <v>389</v>
      </c>
      <c r="AD21" s="11">
        <v>32000</v>
      </c>
      <c r="AE21" s="11">
        <v>4094</v>
      </c>
      <c r="AF21" s="11"/>
    </row>
    <row r="22" spans="1:32" x14ac:dyDescent="0.2">
      <c r="A22" s="10" t="str">
        <f t="shared" si="0"/>
        <v>MS225-24-HW</v>
      </c>
      <c r="B22" s="11" t="s">
        <v>309</v>
      </c>
      <c r="C22" s="12" t="s">
        <v>181</v>
      </c>
      <c r="D22" s="11" t="s">
        <v>128</v>
      </c>
      <c r="E22" s="11"/>
      <c r="F22" s="11" t="s">
        <v>352</v>
      </c>
      <c r="G22" s="11">
        <v>24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>
        <v>4</v>
      </c>
      <c r="X22" s="11"/>
      <c r="Y22" s="11"/>
      <c r="Z22" s="11"/>
      <c r="AA22" s="11"/>
      <c r="AB22" s="11">
        <v>128</v>
      </c>
      <c r="AC22" s="11" t="s">
        <v>389</v>
      </c>
      <c r="AD22" s="11">
        <v>16000</v>
      </c>
      <c r="AE22" s="11">
        <v>4094</v>
      </c>
      <c r="AF22" s="11"/>
    </row>
    <row r="23" spans="1:32" x14ac:dyDescent="0.2">
      <c r="A23" s="10" t="str">
        <f t="shared" si="0"/>
        <v>MS225-24P-HW</v>
      </c>
      <c r="B23" s="11" t="s">
        <v>309</v>
      </c>
      <c r="C23" s="12" t="s">
        <v>182</v>
      </c>
      <c r="D23" s="11" t="s">
        <v>128</v>
      </c>
      <c r="E23" s="11"/>
      <c r="F23" s="11" t="s">
        <v>352</v>
      </c>
      <c r="G23" s="11"/>
      <c r="H23" s="11"/>
      <c r="I23" s="11">
        <v>24</v>
      </c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>
        <v>4</v>
      </c>
      <c r="X23" s="11"/>
      <c r="Y23" s="11"/>
      <c r="Z23" s="11"/>
      <c r="AA23" s="11">
        <v>370</v>
      </c>
      <c r="AB23" s="11">
        <v>128</v>
      </c>
      <c r="AC23" s="11" t="s">
        <v>389</v>
      </c>
      <c r="AD23" s="11">
        <v>16000</v>
      </c>
      <c r="AE23" s="11">
        <v>4094</v>
      </c>
      <c r="AF23" s="11"/>
    </row>
    <row r="24" spans="1:32" x14ac:dyDescent="0.2">
      <c r="A24" s="10" t="str">
        <f t="shared" si="0"/>
        <v>MS225-48-HW</v>
      </c>
      <c r="B24" s="11" t="s">
        <v>309</v>
      </c>
      <c r="C24" s="12" t="s">
        <v>183</v>
      </c>
      <c r="D24" s="11" t="s">
        <v>128</v>
      </c>
      <c r="E24" s="11"/>
      <c r="F24" s="11" t="s">
        <v>352</v>
      </c>
      <c r="G24" s="11">
        <v>48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>
        <v>4</v>
      </c>
      <c r="X24" s="11"/>
      <c r="Y24" s="11"/>
      <c r="Z24" s="11"/>
      <c r="AA24" s="11"/>
      <c r="AB24" s="11">
        <v>176</v>
      </c>
      <c r="AC24" s="11" t="s">
        <v>389</v>
      </c>
      <c r="AD24" s="11">
        <v>32000</v>
      </c>
      <c r="AE24" s="11">
        <v>4094</v>
      </c>
      <c r="AF24" s="11"/>
    </row>
    <row r="25" spans="1:32" x14ac:dyDescent="0.2">
      <c r="A25" s="10" t="str">
        <f t="shared" si="0"/>
        <v>MS225-48LP-HW</v>
      </c>
      <c r="B25" s="11" t="s">
        <v>309</v>
      </c>
      <c r="C25" s="12" t="s">
        <v>190</v>
      </c>
      <c r="D25" s="11" t="s">
        <v>128</v>
      </c>
      <c r="E25" s="11"/>
      <c r="F25" s="11" t="s">
        <v>352</v>
      </c>
      <c r="G25" s="11"/>
      <c r="H25" s="11"/>
      <c r="I25" s="11">
        <v>48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>
        <v>4</v>
      </c>
      <c r="X25" s="11"/>
      <c r="Y25" s="11"/>
      <c r="Z25" s="11"/>
      <c r="AA25" s="11">
        <v>370</v>
      </c>
      <c r="AB25" s="11">
        <v>176</v>
      </c>
      <c r="AC25" s="11" t="s">
        <v>389</v>
      </c>
      <c r="AD25" s="11">
        <v>32000</v>
      </c>
      <c r="AE25" s="11">
        <v>4094</v>
      </c>
      <c r="AF25" s="11"/>
    </row>
    <row r="26" spans="1:32" x14ac:dyDescent="0.2">
      <c r="A26" s="10" t="str">
        <f t="shared" si="0"/>
        <v>MS225-48FP-HW</v>
      </c>
      <c r="B26" s="11" t="s">
        <v>309</v>
      </c>
      <c r="C26" s="12" t="s">
        <v>184</v>
      </c>
      <c r="D26" s="11" t="s">
        <v>128</v>
      </c>
      <c r="E26" s="11"/>
      <c r="F26" s="11" t="s">
        <v>352</v>
      </c>
      <c r="G26" s="11"/>
      <c r="H26" s="11"/>
      <c r="I26" s="11">
        <v>48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>
        <v>4</v>
      </c>
      <c r="X26" s="11"/>
      <c r="Y26" s="11"/>
      <c r="Z26" s="11"/>
      <c r="AA26" s="11">
        <v>740</v>
      </c>
      <c r="AB26" s="11">
        <v>176</v>
      </c>
      <c r="AC26" s="11" t="s">
        <v>389</v>
      </c>
      <c r="AD26" s="11">
        <v>32000</v>
      </c>
      <c r="AE26" s="11">
        <v>4094</v>
      </c>
      <c r="AF26" s="11"/>
    </row>
    <row r="27" spans="1:32" x14ac:dyDescent="0.2">
      <c r="A27" s="10" t="str">
        <f t="shared" si="0"/>
        <v>MS250-24-HW</v>
      </c>
      <c r="B27" s="11" t="s">
        <v>315</v>
      </c>
      <c r="C27" s="12" t="s">
        <v>185</v>
      </c>
      <c r="D27" s="11" t="s">
        <v>128</v>
      </c>
      <c r="E27" s="11"/>
      <c r="F27" s="11" t="s">
        <v>352</v>
      </c>
      <c r="G27" s="11">
        <v>24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>
        <v>4</v>
      </c>
      <c r="X27" s="11"/>
      <c r="Y27" s="11"/>
      <c r="Z27" s="11"/>
      <c r="AA27" s="11"/>
      <c r="AB27" s="11">
        <v>128</v>
      </c>
      <c r="AC27" s="11" t="s">
        <v>389</v>
      </c>
      <c r="AD27" s="11">
        <v>16000</v>
      </c>
      <c r="AE27" s="11">
        <v>4094</v>
      </c>
      <c r="AF27" s="11"/>
    </row>
    <row r="28" spans="1:32" x14ac:dyDescent="0.2">
      <c r="A28" s="10" t="str">
        <f t="shared" si="0"/>
        <v>MS250-24P-HW</v>
      </c>
      <c r="B28" s="11" t="s">
        <v>315</v>
      </c>
      <c r="C28" s="12" t="s">
        <v>186</v>
      </c>
      <c r="D28" s="11" t="s">
        <v>128</v>
      </c>
      <c r="E28" s="11"/>
      <c r="F28" s="11" t="s">
        <v>352</v>
      </c>
      <c r="G28" s="11"/>
      <c r="H28" s="11"/>
      <c r="I28" s="11">
        <v>24</v>
      </c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>
        <v>4</v>
      </c>
      <c r="X28" s="11"/>
      <c r="Y28" s="11"/>
      <c r="Z28" s="11"/>
      <c r="AA28" s="11">
        <v>370</v>
      </c>
      <c r="AB28" s="11">
        <v>128</v>
      </c>
      <c r="AC28" s="11" t="s">
        <v>389</v>
      </c>
      <c r="AD28" s="11">
        <v>16000</v>
      </c>
      <c r="AE28" s="11">
        <v>4094</v>
      </c>
      <c r="AF28" s="11"/>
    </row>
    <row r="29" spans="1:32" x14ac:dyDescent="0.2">
      <c r="A29" s="10" t="str">
        <f t="shared" si="0"/>
        <v>MS250-48-HW</v>
      </c>
      <c r="B29" s="11" t="s">
        <v>315</v>
      </c>
      <c r="C29" s="12" t="s">
        <v>187</v>
      </c>
      <c r="D29" s="11" t="s">
        <v>128</v>
      </c>
      <c r="E29" s="11"/>
      <c r="F29" s="11" t="s">
        <v>352</v>
      </c>
      <c r="G29" s="11">
        <v>48</v>
      </c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>
        <v>4</v>
      </c>
      <c r="X29" s="11"/>
      <c r="Y29" s="11"/>
      <c r="Z29" s="11"/>
      <c r="AA29" s="11"/>
      <c r="AB29" s="11">
        <v>176</v>
      </c>
      <c r="AC29" s="11" t="s">
        <v>389</v>
      </c>
      <c r="AD29" s="11">
        <v>32000</v>
      </c>
      <c r="AE29" s="11">
        <v>4094</v>
      </c>
      <c r="AF29" s="11"/>
    </row>
    <row r="30" spans="1:32" x14ac:dyDescent="0.2">
      <c r="A30" s="10" t="str">
        <f t="shared" si="0"/>
        <v>MS250-48LP-HW</v>
      </c>
      <c r="B30" s="11" t="s">
        <v>315</v>
      </c>
      <c r="C30" s="12" t="s">
        <v>196</v>
      </c>
      <c r="D30" s="11" t="s">
        <v>128</v>
      </c>
      <c r="E30" s="11"/>
      <c r="F30" s="11" t="s">
        <v>352</v>
      </c>
      <c r="G30" s="11"/>
      <c r="H30" s="11"/>
      <c r="I30" s="11">
        <v>48</v>
      </c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>
        <v>4</v>
      </c>
      <c r="X30" s="11"/>
      <c r="Y30" s="11"/>
      <c r="Z30" s="11"/>
      <c r="AA30" s="11">
        <v>370</v>
      </c>
      <c r="AB30" s="11">
        <v>176</v>
      </c>
      <c r="AC30" s="11" t="s">
        <v>389</v>
      </c>
      <c r="AD30" s="11">
        <v>32000</v>
      </c>
      <c r="AE30" s="11">
        <v>4094</v>
      </c>
      <c r="AF30" s="11"/>
    </row>
    <row r="31" spans="1:32" x14ac:dyDescent="0.2">
      <c r="A31" s="10" t="str">
        <f t="shared" si="0"/>
        <v>MS250-48FP-HW</v>
      </c>
      <c r="B31" s="11" t="s">
        <v>315</v>
      </c>
      <c r="C31" s="12" t="s">
        <v>188</v>
      </c>
      <c r="D31" s="11" t="s">
        <v>128</v>
      </c>
      <c r="E31" s="11"/>
      <c r="F31" s="11" t="s">
        <v>352</v>
      </c>
      <c r="G31" s="11"/>
      <c r="H31" s="11"/>
      <c r="I31" s="11">
        <v>48</v>
      </c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>
        <v>4</v>
      </c>
      <c r="X31" s="11"/>
      <c r="Y31" s="11"/>
      <c r="Z31" s="11"/>
      <c r="AA31" s="11">
        <v>740</v>
      </c>
      <c r="AB31" s="11">
        <v>176</v>
      </c>
      <c r="AC31" s="11" t="s">
        <v>389</v>
      </c>
      <c r="AD31" s="11">
        <v>32000</v>
      </c>
      <c r="AE31" s="11">
        <v>4094</v>
      </c>
      <c r="AF31" s="11"/>
    </row>
    <row r="32" spans="1:32" x14ac:dyDescent="0.2">
      <c r="A32" s="10" t="str">
        <f t="shared" si="0"/>
        <v>MS350-24-HW</v>
      </c>
      <c r="B32" s="11" t="s">
        <v>316</v>
      </c>
      <c r="C32" s="12" t="s">
        <v>318</v>
      </c>
      <c r="D32" s="11" t="s">
        <v>128</v>
      </c>
      <c r="E32" s="11"/>
      <c r="F32" s="11" t="s">
        <v>352</v>
      </c>
      <c r="G32" s="11">
        <v>24</v>
      </c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4</v>
      </c>
      <c r="X32" s="11"/>
      <c r="Y32" s="11"/>
      <c r="Z32" s="11"/>
      <c r="AA32" s="11"/>
      <c r="AB32" s="11">
        <v>128</v>
      </c>
      <c r="AC32" s="11" t="s">
        <v>389</v>
      </c>
      <c r="AD32" s="11">
        <v>96000</v>
      </c>
      <c r="AE32" s="11">
        <v>4094</v>
      </c>
      <c r="AF32" s="11"/>
    </row>
    <row r="33" spans="1:32" x14ac:dyDescent="0.2">
      <c r="A33" s="10" t="str">
        <f t="shared" si="0"/>
        <v>MS350-24P-HW</v>
      </c>
      <c r="B33" s="11" t="s">
        <v>316</v>
      </c>
      <c r="C33" s="12" t="s">
        <v>320</v>
      </c>
      <c r="D33" s="11" t="s">
        <v>128</v>
      </c>
      <c r="E33" s="11"/>
      <c r="F33" s="11" t="s">
        <v>352</v>
      </c>
      <c r="G33" s="11"/>
      <c r="H33" s="11"/>
      <c r="I33" s="11">
        <v>24</v>
      </c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>
        <v>4</v>
      </c>
      <c r="X33" s="11"/>
      <c r="Y33" s="11"/>
      <c r="Z33" s="11"/>
      <c r="AA33" s="11">
        <v>370</v>
      </c>
      <c r="AB33" s="11">
        <v>128</v>
      </c>
      <c r="AC33" s="11" t="s">
        <v>389</v>
      </c>
      <c r="AD33" s="11">
        <v>96000</v>
      </c>
      <c r="AE33" s="11">
        <v>4094</v>
      </c>
      <c r="AF33" s="11"/>
    </row>
    <row r="34" spans="1:32" x14ac:dyDescent="0.2">
      <c r="A34" s="10" t="str">
        <f t="shared" si="0"/>
        <v>MS350-24X-HW</v>
      </c>
      <c r="B34" s="11" t="s">
        <v>316</v>
      </c>
      <c r="C34" s="2" t="s">
        <v>191</v>
      </c>
      <c r="D34" s="11" t="s">
        <v>128</v>
      </c>
      <c r="E34" s="11"/>
      <c r="F34" s="11" t="s">
        <v>352</v>
      </c>
      <c r="G34" s="11"/>
      <c r="H34" s="11"/>
      <c r="I34" s="11">
        <v>16</v>
      </c>
      <c r="J34" s="11"/>
      <c r="K34" s="11"/>
      <c r="L34" s="11"/>
      <c r="M34" s="11"/>
      <c r="N34" s="11"/>
      <c r="O34" s="11">
        <v>8</v>
      </c>
      <c r="P34" s="11"/>
      <c r="Q34" s="11"/>
      <c r="R34" s="11"/>
      <c r="S34" s="11"/>
      <c r="T34" s="11"/>
      <c r="U34" s="11"/>
      <c r="V34" s="11"/>
      <c r="W34" s="11">
        <v>4</v>
      </c>
      <c r="X34" s="11"/>
      <c r="Y34" s="11"/>
      <c r="Z34" s="11"/>
      <c r="AA34" s="11">
        <v>740</v>
      </c>
      <c r="AB34" s="11">
        <v>272</v>
      </c>
      <c r="AC34" s="11" t="s">
        <v>389</v>
      </c>
      <c r="AD34" s="11">
        <v>512000</v>
      </c>
      <c r="AE34" s="11">
        <v>4094</v>
      </c>
      <c r="AF34" s="11"/>
    </row>
    <row r="35" spans="1:32" x14ac:dyDescent="0.2">
      <c r="A35" s="10" t="str">
        <f t="shared" si="0"/>
        <v>MS350-48-HW</v>
      </c>
      <c r="B35" s="11" t="s">
        <v>316</v>
      </c>
      <c r="C35" s="2" t="s">
        <v>319</v>
      </c>
      <c r="D35" s="11" t="s">
        <v>128</v>
      </c>
      <c r="E35" s="11"/>
      <c r="F35" s="11" t="s">
        <v>352</v>
      </c>
      <c r="G35" s="11">
        <v>48</v>
      </c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>
        <v>4</v>
      </c>
      <c r="X35" s="11"/>
      <c r="Y35" s="11"/>
      <c r="Z35" s="11"/>
      <c r="AA35" s="11"/>
      <c r="AB35" s="11">
        <v>176</v>
      </c>
      <c r="AC35" s="11" t="s">
        <v>389</v>
      </c>
      <c r="AD35" s="11">
        <v>96000</v>
      </c>
      <c r="AE35" s="11">
        <v>4094</v>
      </c>
      <c r="AF35" s="11"/>
    </row>
    <row r="36" spans="1:32" x14ac:dyDescent="0.2">
      <c r="A36" s="10" t="str">
        <f t="shared" si="0"/>
        <v>MS350-48LP-HW</v>
      </c>
      <c r="B36" s="11" t="s">
        <v>316</v>
      </c>
      <c r="C36" s="12" t="s">
        <v>321</v>
      </c>
      <c r="D36" s="11" t="s">
        <v>128</v>
      </c>
      <c r="E36" s="11"/>
      <c r="F36" s="11" t="s">
        <v>352</v>
      </c>
      <c r="G36" s="11"/>
      <c r="H36" s="11"/>
      <c r="I36" s="11">
        <v>48</v>
      </c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>
        <v>4</v>
      </c>
      <c r="X36" s="11"/>
      <c r="Y36" s="11"/>
      <c r="Z36" s="11"/>
      <c r="AA36" s="11">
        <v>370</v>
      </c>
      <c r="AB36" s="11">
        <v>176</v>
      </c>
      <c r="AC36" s="11" t="s">
        <v>389</v>
      </c>
      <c r="AD36" s="11">
        <v>96000</v>
      </c>
      <c r="AE36" s="11">
        <v>4094</v>
      </c>
      <c r="AF36" s="11"/>
    </row>
    <row r="37" spans="1:32" x14ac:dyDescent="0.2">
      <c r="A37" s="10" t="str">
        <f t="shared" si="0"/>
        <v>MS350-48FP-HW</v>
      </c>
      <c r="B37" s="11" t="s">
        <v>316</v>
      </c>
      <c r="C37" s="12" t="s">
        <v>322</v>
      </c>
      <c r="D37" s="11" t="s">
        <v>128</v>
      </c>
      <c r="E37" s="11"/>
      <c r="F37" s="11" t="s">
        <v>352</v>
      </c>
      <c r="G37" s="11"/>
      <c r="H37" s="11"/>
      <c r="I37" s="11">
        <v>48</v>
      </c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>
        <v>4</v>
      </c>
      <c r="X37" s="11"/>
      <c r="Y37" s="11"/>
      <c r="Z37" s="11"/>
      <c r="AA37" s="11">
        <v>740</v>
      </c>
      <c r="AB37" s="11">
        <v>176</v>
      </c>
      <c r="AC37" s="11" t="s">
        <v>389</v>
      </c>
      <c r="AD37" s="11">
        <v>96000</v>
      </c>
      <c r="AE37" s="11">
        <v>4094</v>
      </c>
      <c r="AF37" s="11"/>
    </row>
    <row r="38" spans="1:32" x14ac:dyDescent="0.2">
      <c r="A38" s="10" t="str">
        <f t="shared" si="0"/>
        <v>MS355-24X-HW</v>
      </c>
      <c r="B38" s="11" t="s">
        <v>317</v>
      </c>
      <c r="C38" s="12" t="s">
        <v>192</v>
      </c>
      <c r="D38" s="11" t="s">
        <v>128</v>
      </c>
      <c r="E38" s="11"/>
      <c r="F38" s="11" t="s">
        <v>352</v>
      </c>
      <c r="G38" s="11"/>
      <c r="H38" s="11"/>
      <c r="I38" s="11">
        <v>16</v>
      </c>
      <c r="J38" s="11"/>
      <c r="K38" s="11"/>
      <c r="L38" s="11"/>
      <c r="M38" s="11"/>
      <c r="N38" s="11"/>
      <c r="O38" s="11">
        <v>8</v>
      </c>
      <c r="P38" s="11"/>
      <c r="Q38" s="11"/>
      <c r="R38" s="11"/>
      <c r="S38" s="11"/>
      <c r="T38" s="11"/>
      <c r="U38" s="11"/>
      <c r="V38" s="11"/>
      <c r="W38" s="11">
        <v>4</v>
      </c>
      <c r="X38" s="11"/>
      <c r="Y38" s="11">
        <v>2</v>
      </c>
      <c r="Z38" s="11"/>
      <c r="AA38" s="11">
        <v>740</v>
      </c>
      <c r="AB38" s="11">
        <v>352</v>
      </c>
      <c r="AC38" s="11" t="s">
        <v>389</v>
      </c>
      <c r="AD38" s="11">
        <v>32000</v>
      </c>
      <c r="AE38" s="11">
        <v>4094</v>
      </c>
      <c r="AF38" s="11"/>
    </row>
    <row r="39" spans="1:32" x14ac:dyDescent="0.2">
      <c r="A39" s="10" t="str">
        <f t="shared" si="0"/>
        <v>MS355-24X2-HW</v>
      </c>
      <c r="B39" s="11" t="s">
        <v>317</v>
      </c>
      <c r="C39" s="12" t="s">
        <v>194</v>
      </c>
      <c r="D39" s="11" t="s">
        <v>128</v>
      </c>
      <c r="E39" s="11"/>
      <c r="F39" s="11" t="s">
        <v>352</v>
      </c>
      <c r="G39" s="11"/>
      <c r="H39" s="11"/>
      <c r="I39" s="11"/>
      <c r="J39" s="11"/>
      <c r="K39" s="11"/>
      <c r="L39" s="11"/>
      <c r="M39" s="11"/>
      <c r="N39" s="11"/>
      <c r="O39" s="11">
        <v>24</v>
      </c>
      <c r="P39" s="11"/>
      <c r="Q39" s="11"/>
      <c r="R39" s="11"/>
      <c r="S39" s="11"/>
      <c r="T39" s="11"/>
      <c r="U39" s="11"/>
      <c r="V39" s="11"/>
      <c r="W39" s="11">
        <v>4</v>
      </c>
      <c r="X39" s="11"/>
      <c r="Y39" s="11">
        <v>2</v>
      </c>
      <c r="Z39" s="11"/>
      <c r="AA39" s="11">
        <v>740</v>
      </c>
      <c r="AB39" s="11">
        <v>544</v>
      </c>
      <c r="AC39" s="11" t="s">
        <v>389</v>
      </c>
      <c r="AD39" s="11">
        <v>32000</v>
      </c>
      <c r="AE39" s="11">
        <v>4094</v>
      </c>
      <c r="AF39" s="11"/>
    </row>
    <row r="40" spans="1:32" x14ac:dyDescent="0.2">
      <c r="A40" s="10" t="str">
        <f t="shared" si="0"/>
        <v>MS355-48X-HW</v>
      </c>
      <c r="B40" s="11" t="s">
        <v>317</v>
      </c>
      <c r="C40" s="12" t="s">
        <v>193</v>
      </c>
      <c r="D40" s="11" t="s">
        <v>128</v>
      </c>
      <c r="E40" s="11"/>
      <c r="F40" s="11" t="s">
        <v>352</v>
      </c>
      <c r="G40" s="11"/>
      <c r="H40" s="11"/>
      <c r="I40" s="11">
        <v>32</v>
      </c>
      <c r="J40" s="11"/>
      <c r="K40" s="11"/>
      <c r="L40" s="11"/>
      <c r="M40" s="11"/>
      <c r="N40" s="11"/>
      <c r="O40" s="11">
        <v>16</v>
      </c>
      <c r="P40" s="11"/>
      <c r="Q40" s="11"/>
      <c r="R40" s="11"/>
      <c r="S40" s="11"/>
      <c r="T40" s="11"/>
      <c r="U40" s="11"/>
      <c r="V40" s="11"/>
      <c r="W40" s="11">
        <v>4</v>
      </c>
      <c r="X40" s="11"/>
      <c r="Y40" s="11">
        <v>2</v>
      </c>
      <c r="Z40" s="11"/>
      <c r="AA40" s="11">
        <v>740</v>
      </c>
      <c r="AB40" s="11">
        <v>640</v>
      </c>
      <c r="AC40" s="11" t="s">
        <v>389</v>
      </c>
      <c r="AD40" s="11">
        <v>32000</v>
      </c>
      <c r="AE40" s="11">
        <v>4094</v>
      </c>
      <c r="AF40" s="11"/>
    </row>
    <row r="41" spans="1:32" x14ac:dyDescent="0.2">
      <c r="A41" s="10" t="str">
        <f t="shared" si="0"/>
        <v>MS355-48X2-HW</v>
      </c>
      <c r="B41" s="11" t="s">
        <v>317</v>
      </c>
      <c r="C41" s="12" t="s">
        <v>195</v>
      </c>
      <c r="D41" s="11" t="s">
        <v>128</v>
      </c>
      <c r="E41" s="11"/>
      <c r="F41" s="11" t="s">
        <v>352</v>
      </c>
      <c r="G41" s="11"/>
      <c r="H41" s="11"/>
      <c r="I41" s="11">
        <v>24</v>
      </c>
      <c r="J41" s="11"/>
      <c r="K41" s="11"/>
      <c r="L41" s="11"/>
      <c r="M41" s="11"/>
      <c r="N41" s="11"/>
      <c r="O41" s="11">
        <v>24</v>
      </c>
      <c r="P41" s="11"/>
      <c r="Q41" s="11"/>
      <c r="R41" s="11"/>
      <c r="S41" s="11"/>
      <c r="T41" s="11"/>
      <c r="U41" s="11"/>
      <c r="V41" s="11"/>
      <c r="W41" s="11">
        <v>4</v>
      </c>
      <c r="X41" s="11"/>
      <c r="Y41" s="11">
        <v>2</v>
      </c>
      <c r="Z41" s="11"/>
      <c r="AA41" s="11">
        <v>740</v>
      </c>
      <c r="AB41" s="11">
        <v>688</v>
      </c>
      <c r="AC41" s="11" t="s">
        <v>389</v>
      </c>
      <c r="AD41" s="11">
        <v>32000</v>
      </c>
      <c r="AE41" s="11">
        <v>4094</v>
      </c>
      <c r="AF41" s="11"/>
    </row>
    <row r="42" spans="1:32" x14ac:dyDescent="0.2">
      <c r="A42" s="10" t="str">
        <f t="shared" si="0"/>
        <v>MS390-24-HW-MA-MOD-4X10G</v>
      </c>
      <c r="B42" s="11" t="s">
        <v>341</v>
      </c>
      <c r="C42" s="11" t="s">
        <v>342</v>
      </c>
      <c r="D42" s="11" t="s">
        <v>129</v>
      </c>
      <c r="E42" s="11" t="s">
        <v>354</v>
      </c>
      <c r="F42" s="11" t="s">
        <v>352</v>
      </c>
      <c r="G42" s="11">
        <v>24</v>
      </c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>
        <v>4</v>
      </c>
      <c r="X42" s="11"/>
      <c r="Y42" s="11"/>
      <c r="Z42" s="11"/>
      <c r="AA42" s="11">
        <v>560</v>
      </c>
      <c r="AB42" s="11">
        <v>208</v>
      </c>
      <c r="AC42" s="11" t="s">
        <v>389</v>
      </c>
      <c r="AD42" s="11">
        <v>32000</v>
      </c>
      <c r="AE42" s="11">
        <v>4094</v>
      </c>
      <c r="AF42" s="11"/>
    </row>
    <row r="43" spans="1:32" x14ac:dyDescent="0.2">
      <c r="A43" s="10" t="str">
        <f t="shared" ref="A43" si="1">IF(D43="Fixed",C43,C43&amp;"-"&amp;E43)</f>
        <v>MS390-24-HW-MA-MOD-8X10G</v>
      </c>
      <c r="B43" s="11" t="s">
        <v>341</v>
      </c>
      <c r="C43" s="11" t="s">
        <v>342</v>
      </c>
      <c r="D43" s="11" t="s">
        <v>129</v>
      </c>
      <c r="E43" s="11" t="s">
        <v>355</v>
      </c>
      <c r="F43" s="11" t="s">
        <v>352</v>
      </c>
      <c r="G43" s="11">
        <v>24</v>
      </c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>
        <v>8</v>
      </c>
      <c r="X43" s="11"/>
      <c r="Y43" s="11"/>
      <c r="Z43" s="11"/>
      <c r="AA43" s="11">
        <v>560</v>
      </c>
      <c r="AB43" s="11">
        <v>208</v>
      </c>
      <c r="AC43" s="11" t="s">
        <v>389</v>
      </c>
      <c r="AD43" s="11">
        <v>32000</v>
      </c>
      <c r="AE43" s="11">
        <v>4094</v>
      </c>
      <c r="AF43" s="11"/>
    </row>
    <row r="44" spans="1:32" x14ac:dyDescent="0.2">
      <c r="A44" s="10" t="str">
        <f t="shared" ref="A44" si="2">IF(D44="Fixed",C44,C44&amp;"-"&amp;E44)</f>
        <v>MS390-24-HW-MA-MOD-2X40G</v>
      </c>
      <c r="B44" s="11" t="s">
        <v>341</v>
      </c>
      <c r="C44" s="11" t="s">
        <v>342</v>
      </c>
      <c r="D44" s="11" t="s">
        <v>129</v>
      </c>
      <c r="E44" s="11" t="s">
        <v>356</v>
      </c>
      <c r="F44" s="11" t="s">
        <v>352</v>
      </c>
      <c r="G44" s="11">
        <v>24</v>
      </c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>
        <v>2</v>
      </c>
      <c r="Z44" s="11"/>
      <c r="AA44" s="11">
        <v>560</v>
      </c>
      <c r="AB44" s="11">
        <v>208</v>
      </c>
      <c r="AC44" s="11" t="s">
        <v>389</v>
      </c>
      <c r="AD44" s="11">
        <v>32000</v>
      </c>
      <c r="AE44" s="11">
        <v>4094</v>
      </c>
      <c r="AF44" s="11"/>
    </row>
    <row r="45" spans="1:32" x14ac:dyDescent="0.2">
      <c r="A45" s="10" t="str">
        <f t="shared" si="0"/>
        <v>MS390-24P-HW-MA-MOD-4X10G</v>
      </c>
      <c r="B45" s="11" t="s">
        <v>341</v>
      </c>
      <c r="C45" s="11" t="s">
        <v>343</v>
      </c>
      <c r="D45" s="11" t="s">
        <v>129</v>
      </c>
      <c r="E45" s="11" t="s">
        <v>354</v>
      </c>
      <c r="F45" s="11" t="s">
        <v>352</v>
      </c>
      <c r="G45" s="11"/>
      <c r="H45" s="11"/>
      <c r="I45" s="11">
        <v>24</v>
      </c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>
        <v>4</v>
      </c>
      <c r="X45" s="11"/>
      <c r="Y45" s="11"/>
      <c r="Z45" s="11"/>
      <c r="AA45" s="11">
        <v>560</v>
      </c>
      <c r="AB45" s="11">
        <v>208</v>
      </c>
      <c r="AC45" s="11" t="s">
        <v>389</v>
      </c>
      <c r="AD45" s="11">
        <v>32000</v>
      </c>
      <c r="AE45" s="11">
        <v>4094</v>
      </c>
      <c r="AF45" s="11"/>
    </row>
    <row r="46" spans="1:32" x14ac:dyDescent="0.2">
      <c r="A46" s="10" t="str">
        <f t="shared" ref="A46" si="3">IF(D46="Fixed",C46,C46&amp;"-"&amp;E46)</f>
        <v>MS390-24P-HW-MA-MOD-8X10G</v>
      </c>
      <c r="B46" s="11" t="s">
        <v>341</v>
      </c>
      <c r="C46" s="11" t="s">
        <v>343</v>
      </c>
      <c r="D46" s="11" t="s">
        <v>129</v>
      </c>
      <c r="E46" s="11" t="s">
        <v>355</v>
      </c>
      <c r="F46" s="11" t="s">
        <v>352</v>
      </c>
      <c r="G46" s="11"/>
      <c r="H46" s="11"/>
      <c r="I46" s="11">
        <v>24</v>
      </c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>
        <v>8</v>
      </c>
      <c r="X46" s="11"/>
      <c r="Y46" s="11"/>
      <c r="Z46" s="11"/>
      <c r="AA46" s="11">
        <v>560</v>
      </c>
      <c r="AB46" s="11">
        <v>208</v>
      </c>
      <c r="AC46" s="11" t="s">
        <v>389</v>
      </c>
      <c r="AD46" s="11">
        <v>32000</v>
      </c>
      <c r="AE46" s="11">
        <v>4094</v>
      </c>
      <c r="AF46" s="11"/>
    </row>
    <row r="47" spans="1:32" x14ac:dyDescent="0.2">
      <c r="A47" s="10" t="str">
        <f t="shared" ref="A47:A49" si="4">IF(D47="Fixed",C47,C47&amp;"-"&amp;E47)</f>
        <v>MS390-24P-HW-MA-MOD-2X40G</v>
      </c>
      <c r="B47" s="11" t="s">
        <v>341</v>
      </c>
      <c r="C47" s="11" t="s">
        <v>343</v>
      </c>
      <c r="D47" s="11" t="s">
        <v>129</v>
      </c>
      <c r="E47" s="11" t="s">
        <v>356</v>
      </c>
      <c r="F47" s="11" t="s">
        <v>352</v>
      </c>
      <c r="G47" s="11"/>
      <c r="H47" s="11"/>
      <c r="I47" s="11">
        <v>24</v>
      </c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>
        <v>2</v>
      </c>
      <c r="Z47" s="11"/>
      <c r="AA47" s="11">
        <v>560</v>
      </c>
      <c r="AB47" s="11">
        <v>208</v>
      </c>
      <c r="AC47" s="11" t="s">
        <v>389</v>
      </c>
      <c r="AD47" s="11">
        <v>32000</v>
      </c>
      <c r="AE47" s="11">
        <v>4094</v>
      </c>
      <c r="AF47" s="11"/>
    </row>
    <row r="48" spans="1:32" x14ac:dyDescent="0.2">
      <c r="A48" s="10" t="str">
        <f t="shared" si="4"/>
        <v>MS390-24U-HW-MA-MOD-4X10G</v>
      </c>
      <c r="B48" s="11" t="s">
        <v>341</v>
      </c>
      <c r="C48" s="11" t="s">
        <v>344</v>
      </c>
      <c r="D48" s="11" t="s">
        <v>129</v>
      </c>
      <c r="E48" s="11" t="s">
        <v>354</v>
      </c>
      <c r="F48" s="11" t="s">
        <v>352</v>
      </c>
      <c r="G48" s="11"/>
      <c r="H48" s="11"/>
      <c r="I48" s="11"/>
      <c r="J48" s="11">
        <v>24</v>
      </c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>
        <v>4</v>
      </c>
      <c r="X48" s="11"/>
      <c r="Y48" s="11"/>
      <c r="Z48" s="11"/>
      <c r="AA48" s="11">
        <v>560</v>
      </c>
      <c r="AB48" s="11">
        <v>208</v>
      </c>
      <c r="AC48" s="11" t="s">
        <v>389</v>
      </c>
      <c r="AD48" s="11">
        <v>32000</v>
      </c>
      <c r="AE48" s="11">
        <v>4094</v>
      </c>
      <c r="AF48" s="11"/>
    </row>
    <row r="49" spans="1:32" x14ac:dyDescent="0.2">
      <c r="A49" s="10" t="str">
        <f t="shared" si="4"/>
        <v>MS390-24U-HW-MA-MOD-8X10G</v>
      </c>
      <c r="B49" s="11" t="s">
        <v>341</v>
      </c>
      <c r="C49" s="11" t="s">
        <v>344</v>
      </c>
      <c r="D49" s="11" t="s">
        <v>129</v>
      </c>
      <c r="E49" s="11" t="s">
        <v>355</v>
      </c>
      <c r="F49" s="11" t="s">
        <v>352</v>
      </c>
      <c r="G49" s="11"/>
      <c r="H49" s="11"/>
      <c r="I49" s="11"/>
      <c r="J49" s="11">
        <v>24</v>
      </c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>
        <v>8</v>
      </c>
      <c r="X49" s="11"/>
      <c r="Y49" s="11"/>
      <c r="Z49" s="11"/>
      <c r="AA49" s="11">
        <v>560</v>
      </c>
      <c r="AB49" s="11">
        <v>208</v>
      </c>
      <c r="AC49" s="11" t="s">
        <v>389</v>
      </c>
      <c r="AD49" s="11">
        <v>32000</v>
      </c>
      <c r="AE49" s="11">
        <v>4094</v>
      </c>
      <c r="AF49" s="11"/>
    </row>
    <row r="50" spans="1:32" x14ac:dyDescent="0.2">
      <c r="A50" s="10" t="str">
        <f t="shared" si="0"/>
        <v>MS390-24U-HW-MA-MOD-2X40G</v>
      </c>
      <c r="B50" s="11" t="s">
        <v>341</v>
      </c>
      <c r="C50" s="11" t="s">
        <v>344</v>
      </c>
      <c r="D50" s="11" t="s">
        <v>129</v>
      </c>
      <c r="E50" s="11" t="s">
        <v>356</v>
      </c>
      <c r="F50" s="11" t="s">
        <v>352</v>
      </c>
      <c r="G50" s="11"/>
      <c r="H50" s="11"/>
      <c r="I50" s="11"/>
      <c r="J50" s="11">
        <v>24</v>
      </c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>
        <v>2</v>
      </c>
      <c r="Z50" s="11"/>
      <c r="AA50" s="11">
        <v>560</v>
      </c>
      <c r="AB50" s="11">
        <v>208</v>
      </c>
      <c r="AC50" s="11" t="s">
        <v>389</v>
      </c>
      <c r="AD50" s="11">
        <v>32000</v>
      </c>
      <c r="AE50" s="11">
        <v>4094</v>
      </c>
      <c r="AF50" s="11"/>
    </row>
    <row r="51" spans="1:32" x14ac:dyDescent="0.2">
      <c r="A51" s="10" t="str">
        <f>IF(D51="Fixed",C51,C51&amp;"-"&amp;E51)</f>
        <v>MS390-24UX-HW-MA-MOD-4X10G</v>
      </c>
      <c r="B51" s="11" t="s">
        <v>341</v>
      </c>
      <c r="C51" s="11" t="s">
        <v>345</v>
      </c>
      <c r="D51" s="11" t="s">
        <v>129</v>
      </c>
      <c r="E51" s="11" t="s">
        <v>354</v>
      </c>
      <c r="F51" s="11" t="s">
        <v>352</v>
      </c>
      <c r="G51" s="11"/>
      <c r="H51" s="11"/>
      <c r="I51" s="11"/>
      <c r="J51" s="11"/>
      <c r="K51" s="11"/>
      <c r="L51" s="11"/>
      <c r="M51" s="11"/>
      <c r="N51" s="11"/>
      <c r="O51" s="11">
        <v>24</v>
      </c>
      <c r="P51" s="11"/>
      <c r="Q51" s="11"/>
      <c r="R51" s="11"/>
      <c r="S51" s="11"/>
      <c r="T51" s="11"/>
      <c r="U51" s="11"/>
      <c r="V51" s="11"/>
      <c r="W51" s="11">
        <v>4</v>
      </c>
      <c r="X51" s="11"/>
      <c r="Y51" s="11"/>
      <c r="Z51" s="11"/>
      <c r="AA51" s="11">
        <v>560</v>
      </c>
      <c r="AB51" s="11">
        <v>640</v>
      </c>
      <c r="AC51" s="11" t="s">
        <v>389</v>
      </c>
      <c r="AD51" s="11">
        <v>32000</v>
      </c>
      <c r="AE51" s="11">
        <v>4094</v>
      </c>
      <c r="AF51" s="11"/>
    </row>
    <row r="52" spans="1:32" x14ac:dyDescent="0.2">
      <c r="A52" s="10" t="str">
        <f>IF(D52="Fixed",C52,C52&amp;"-"&amp;E52)</f>
        <v>MS390-24UX-HW-MA-MOD-8X10G</v>
      </c>
      <c r="B52" s="11" t="s">
        <v>341</v>
      </c>
      <c r="C52" s="11" t="s">
        <v>345</v>
      </c>
      <c r="D52" s="11" t="s">
        <v>129</v>
      </c>
      <c r="E52" s="11" t="s">
        <v>355</v>
      </c>
      <c r="F52" s="11" t="s">
        <v>352</v>
      </c>
      <c r="G52" s="11"/>
      <c r="H52" s="11"/>
      <c r="I52" s="11"/>
      <c r="J52" s="11"/>
      <c r="K52" s="11"/>
      <c r="L52" s="11"/>
      <c r="M52" s="11"/>
      <c r="N52" s="11"/>
      <c r="O52" s="11">
        <v>24</v>
      </c>
      <c r="P52" s="11"/>
      <c r="Q52" s="11"/>
      <c r="R52" s="11"/>
      <c r="S52" s="11"/>
      <c r="T52" s="11"/>
      <c r="U52" s="11"/>
      <c r="V52" s="11"/>
      <c r="W52" s="11">
        <v>8</v>
      </c>
      <c r="X52" s="11"/>
      <c r="Y52" s="11"/>
      <c r="Z52" s="11"/>
      <c r="AA52" s="11">
        <v>560</v>
      </c>
      <c r="AB52" s="11">
        <v>640</v>
      </c>
      <c r="AC52" s="11" t="s">
        <v>389</v>
      </c>
      <c r="AD52" s="11">
        <v>32000</v>
      </c>
      <c r="AE52" s="11">
        <v>4094</v>
      </c>
      <c r="AF52" s="11"/>
    </row>
    <row r="53" spans="1:32" x14ac:dyDescent="0.2">
      <c r="A53" s="10" t="str">
        <f>IF(D53="Fixed",C53,C53&amp;"-"&amp;E53)</f>
        <v>MS390-24UX-HW-MA-MOD-2X40G</v>
      </c>
      <c r="B53" s="11" t="s">
        <v>341</v>
      </c>
      <c r="C53" s="11" t="s">
        <v>345</v>
      </c>
      <c r="D53" s="11" t="s">
        <v>129</v>
      </c>
      <c r="E53" s="11" t="s">
        <v>356</v>
      </c>
      <c r="F53" s="11" t="s">
        <v>352</v>
      </c>
      <c r="G53" s="11"/>
      <c r="H53" s="11"/>
      <c r="I53" s="11"/>
      <c r="J53" s="11"/>
      <c r="K53" s="11"/>
      <c r="L53" s="11"/>
      <c r="M53" s="11"/>
      <c r="N53" s="11"/>
      <c r="O53" s="11">
        <v>24</v>
      </c>
      <c r="P53" s="11"/>
      <c r="Q53" s="11"/>
      <c r="R53" s="11"/>
      <c r="S53" s="11"/>
      <c r="T53" s="11"/>
      <c r="U53" s="11"/>
      <c r="V53" s="11"/>
      <c r="W53" s="11"/>
      <c r="X53" s="11"/>
      <c r="Y53" s="11">
        <v>2</v>
      </c>
      <c r="Z53" s="11"/>
      <c r="AA53" s="11">
        <v>560</v>
      </c>
      <c r="AB53" s="11">
        <v>640</v>
      </c>
      <c r="AC53" s="11" t="s">
        <v>389</v>
      </c>
      <c r="AD53" s="11">
        <v>32000</v>
      </c>
      <c r="AE53" s="11">
        <v>4094</v>
      </c>
      <c r="AF53" s="11"/>
    </row>
    <row r="54" spans="1:32" x14ac:dyDescent="0.2">
      <c r="A54" s="10" t="str">
        <f t="shared" ref="A54:A55" si="5">IF(D54="Fixed",C54,C54&amp;"-"&amp;E54)</f>
        <v>MS390-48-HW-MA-MOD-4X10G</v>
      </c>
      <c r="B54" s="11" t="s">
        <v>341</v>
      </c>
      <c r="C54" s="11" t="s">
        <v>346</v>
      </c>
      <c r="D54" s="11" t="s">
        <v>129</v>
      </c>
      <c r="E54" s="11" t="s">
        <v>354</v>
      </c>
      <c r="F54" s="11" t="s">
        <v>352</v>
      </c>
      <c r="G54" s="11">
        <v>48</v>
      </c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>
        <v>4</v>
      </c>
      <c r="X54" s="11"/>
      <c r="Y54" s="11"/>
      <c r="Z54" s="11"/>
      <c r="AA54" s="11">
        <v>645</v>
      </c>
      <c r="AB54" s="11">
        <v>256</v>
      </c>
      <c r="AC54" s="11" t="s">
        <v>389</v>
      </c>
      <c r="AD54" s="11">
        <v>32000</v>
      </c>
      <c r="AE54" s="11">
        <v>4094</v>
      </c>
      <c r="AF54" s="11"/>
    </row>
    <row r="55" spans="1:32" x14ac:dyDescent="0.2">
      <c r="A55" s="10" t="str">
        <f t="shared" si="5"/>
        <v>MS390-48-HW-MA-MOD-8X10G</v>
      </c>
      <c r="B55" s="11" t="s">
        <v>341</v>
      </c>
      <c r="C55" s="11" t="s">
        <v>346</v>
      </c>
      <c r="D55" s="11" t="s">
        <v>129</v>
      </c>
      <c r="E55" s="11" t="s">
        <v>355</v>
      </c>
      <c r="F55" s="11" t="s">
        <v>352</v>
      </c>
      <c r="G55" s="11">
        <v>48</v>
      </c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>
        <v>8</v>
      </c>
      <c r="X55" s="11"/>
      <c r="Y55" s="11"/>
      <c r="Z55" s="11"/>
      <c r="AA55" s="11">
        <v>645</v>
      </c>
      <c r="AB55" s="11">
        <v>256</v>
      </c>
      <c r="AC55" s="11" t="s">
        <v>389</v>
      </c>
      <c r="AD55" s="11">
        <v>32000</v>
      </c>
      <c r="AE55" s="11">
        <v>4094</v>
      </c>
      <c r="AF55" s="11"/>
    </row>
    <row r="56" spans="1:32" x14ac:dyDescent="0.2">
      <c r="A56" s="10" t="str">
        <f t="shared" si="0"/>
        <v>MS390-48-HW-MA-MOD-2X40G</v>
      </c>
      <c r="B56" s="11" t="s">
        <v>341</v>
      </c>
      <c r="C56" s="11" t="s">
        <v>346</v>
      </c>
      <c r="D56" s="11" t="s">
        <v>129</v>
      </c>
      <c r="E56" s="11" t="s">
        <v>356</v>
      </c>
      <c r="F56" s="11" t="s">
        <v>352</v>
      </c>
      <c r="G56" s="11">
        <v>48</v>
      </c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>
        <v>2</v>
      </c>
      <c r="Z56" s="11"/>
      <c r="AA56" s="11">
        <v>645</v>
      </c>
      <c r="AB56" s="11">
        <v>256</v>
      </c>
      <c r="AC56" s="11" t="s">
        <v>389</v>
      </c>
      <c r="AD56" s="11">
        <v>32000</v>
      </c>
      <c r="AE56" s="11">
        <v>4094</v>
      </c>
      <c r="AF56" s="11"/>
    </row>
    <row r="57" spans="1:32" x14ac:dyDescent="0.2">
      <c r="A57" s="10" t="str">
        <f t="shared" ref="A57:A58" si="6">IF(D57="Fixed",C57,C57&amp;"-"&amp;E57)</f>
        <v>MS390-48P-HW-MA-MOD-4X10G</v>
      </c>
      <c r="B57" s="11" t="s">
        <v>341</v>
      </c>
      <c r="C57" s="11" t="s">
        <v>347</v>
      </c>
      <c r="D57" s="11" t="s">
        <v>129</v>
      </c>
      <c r="E57" s="11" t="s">
        <v>354</v>
      </c>
      <c r="F57" s="11" t="s">
        <v>352</v>
      </c>
      <c r="G57" s="11"/>
      <c r="H57" s="11"/>
      <c r="I57" s="11">
        <v>48</v>
      </c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>
        <v>4</v>
      </c>
      <c r="X57" s="11"/>
      <c r="Y57" s="11"/>
      <c r="Z57" s="11"/>
      <c r="AA57" s="11">
        <v>645</v>
      </c>
      <c r="AB57" s="11">
        <v>256</v>
      </c>
      <c r="AC57" s="11" t="s">
        <v>389</v>
      </c>
      <c r="AD57" s="11">
        <v>32000</v>
      </c>
      <c r="AE57" s="11">
        <v>4094</v>
      </c>
      <c r="AF57" s="11"/>
    </row>
    <row r="58" spans="1:32" x14ac:dyDescent="0.2">
      <c r="A58" s="10" t="str">
        <f t="shared" si="6"/>
        <v>MS390-48P-HW-MA-MOD-8X10G</v>
      </c>
      <c r="B58" s="11" t="s">
        <v>341</v>
      </c>
      <c r="C58" s="11" t="s">
        <v>347</v>
      </c>
      <c r="D58" s="11" t="s">
        <v>129</v>
      </c>
      <c r="E58" s="11" t="s">
        <v>355</v>
      </c>
      <c r="F58" s="11" t="s">
        <v>352</v>
      </c>
      <c r="G58" s="11"/>
      <c r="H58" s="11"/>
      <c r="I58" s="11">
        <v>48</v>
      </c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>
        <v>8</v>
      </c>
      <c r="X58" s="11"/>
      <c r="Y58" s="11"/>
      <c r="Z58" s="11"/>
      <c r="AA58" s="11">
        <v>645</v>
      </c>
      <c r="AB58" s="11">
        <v>256</v>
      </c>
      <c r="AC58" s="11" t="s">
        <v>389</v>
      </c>
      <c r="AD58" s="11">
        <v>32000</v>
      </c>
      <c r="AE58" s="11">
        <v>4094</v>
      </c>
      <c r="AF58" s="11"/>
    </row>
    <row r="59" spans="1:32" x14ac:dyDescent="0.2">
      <c r="A59" s="10" t="str">
        <f t="shared" si="0"/>
        <v>MS390-48P-HW-MA-MOD-2X40G</v>
      </c>
      <c r="B59" s="11" t="s">
        <v>341</v>
      </c>
      <c r="C59" s="11" t="s">
        <v>347</v>
      </c>
      <c r="D59" s="11" t="s">
        <v>129</v>
      </c>
      <c r="E59" s="11" t="s">
        <v>356</v>
      </c>
      <c r="F59" s="11" t="s">
        <v>352</v>
      </c>
      <c r="G59" s="11"/>
      <c r="H59" s="11"/>
      <c r="I59" s="11">
        <v>48</v>
      </c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>
        <v>2</v>
      </c>
      <c r="Z59" s="11"/>
      <c r="AA59" s="11">
        <v>645</v>
      </c>
      <c r="AB59" s="11">
        <v>256</v>
      </c>
      <c r="AC59" s="11" t="s">
        <v>389</v>
      </c>
      <c r="AD59" s="11">
        <v>32000</v>
      </c>
      <c r="AE59" s="11">
        <v>4094</v>
      </c>
      <c r="AF59" s="11"/>
    </row>
    <row r="60" spans="1:32" x14ac:dyDescent="0.2">
      <c r="A60" s="10" t="str">
        <f t="shared" ref="A60:A61" si="7">IF(D60="Fixed",C60,C60&amp;"-"&amp;E60)</f>
        <v>MS390-48U-HW-MA-MOD-4X10G</v>
      </c>
      <c r="B60" s="11" t="s">
        <v>341</v>
      </c>
      <c r="C60" s="11" t="s">
        <v>348</v>
      </c>
      <c r="D60" s="11" t="s">
        <v>129</v>
      </c>
      <c r="E60" s="11" t="s">
        <v>354</v>
      </c>
      <c r="F60" s="11" t="s">
        <v>352</v>
      </c>
      <c r="G60" s="11"/>
      <c r="H60" s="11"/>
      <c r="I60" s="11"/>
      <c r="J60" s="11">
        <v>48</v>
      </c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>
        <v>4</v>
      </c>
      <c r="X60" s="11"/>
      <c r="Y60" s="11"/>
      <c r="Z60" s="11"/>
      <c r="AA60" s="11">
        <v>645</v>
      </c>
      <c r="AB60" s="11">
        <v>256</v>
      </c>
      <c r="AC60" s="11" t="s">
        <v>389</v>
      </c>
      <c r="AD60" s="11">
        <v>32000</v>
      </c>
      <c r="AE60" s="11">
        <v>4094</v>
      </c>
      <c r="AF60" s="11"/>
    </row>
    <row r="61" spans="1:32" x14ac:dyDescent="0.2">
      <c r="A61" s="10" t="str">
        <f t="shared" si="7"/>
        <v>MS390-48U-HW-MA-MOD-8X10G</v>
      </c>
      <c r="B61" s="11" t="s">
        <v>341</v>
      </c>
      <c r="C61" s="11" t="s">
        <v>348</v>
      </c>
      <c r="D61" s="11" t="s">
        <v>129</v>
      </c>
      <c r="E61" s="11" t="s">
        <v>355</v>
      </c>
      <c r="F61" s="11" t="s">
        <v>352</v>
      </c>
      <c r="G61" s="11"/>
      <c r="H61" s="11"/>
      <c r="I61" s="11"/>
      <c r="J61" s="11">
        <v>48</v>
      </c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>
        <v>8</v>
      </c>
      <c r="X61" s="11"/>
      <c r="Y61" s="11"/>
      <c r="Z61" s="11"/>
      <c r="AA61" s="11">
        <v>645</v>
      </c>
      <c r="AB61" s="11">
        <v>256</v>
      </c>
      <c r="AC61" s="11" t="s">
        <v>389</v>
      </c>
      <c r="AD61" s="11">
        <v>32000</v>
      </c>
      <c r="AE61" s="11">
        <v>4094</v>
      </c>
      <c r="AF61" s="11"/>
    </row>
    <row r="62" spans="1:32" x14ac:dyDescent="0.2">
      <c r="A62" s="10" t="str">
        <f t="shared" si="0"/>
        <v>MS390-48U-HW-MA-MOD-2X40G</v>
      </c>
      <c r="B62" s="11" t="s">
        <v>341</v>
      </c>
      <c r="C62" s="11" t="s">
        <v>348</v>
      </c>
      <c r="D62" s="11" t="s">
        <v>129</v>
      </c>
      <c r="E62" s="11" t="s">
        <v>356</v>
      </c>
      <c r="F62" s="11" t="s">
        <v>352</v>
      </c>
      <c r="G62" s="11"/>
      <c r="H62" s="11"/>
      <c r="I62" s="11"/>
      <c r="J62" s="11">
        <v>48</v>
      </c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>
        <v>2</v>
      </c>
      <c r="Z62" s="11"/>
      <c r="AA62" s="11">
        <v>645</v>
      </c>
      <c r="AB62" s="11">
        <v>256</v>
      </c>
      <c r="AC62" s="11" t="s">
        <v>389</v>
      </c>
      <c r="AD62" s="11">
        <v>32000</v>
      </c>
      <c r="AE62" s="11">
        <v>4094</v>
      </c>
      <c r="AF62" s="11"/>
    </row>
    <row r="63" spans="1:32" x14ac:dyDescent="0.2">
      <c r="A63" s="10" t="str">
        <f t="shared" ref="A63" si="8">IF(D63="Fixed",C63,C63&amp;"-"&amp;E63)</f>
        <v>MS390-48UX-HW-MA-MOD-4X10G</v>
      </c>
      <c r="B63" s="11" t="s">
        <v>341</v>
      </c>
      <c r="C63" s="11" t="s">
        <v>349</v>
      </c>
      <c r="D63" s="11" t="s">
        <v>129</v>
      </c>
      <c r="E63" s="11" t="s">
        <v>354</v>
      </c>
      <c r="F63" s="11" t="s">
        <v>352</v>
      </c>
      <c r="G63" s="11"/>
      <c r="H63" s="11"/>
      <c r="I63" s="11"/>
      <c r="J63" s="11"/>
      <c r="K63" s="11"/>
      <c r="L63" s="11"/>
      <c r="M63" s="11">
        <v>36</v>
      </c>
      <c r="N63" s="11"/>
      <c r="O63" s="11">
        <v>12</v>
      </c>
      <c r="P63" s="11"/>
      <c r="Q63" s="11"/>
      <c r="R63" s="11"/>
      <c r="S63" s="11"/>
      <c r="T63" s="11"/>
      <c r="U63" s="11"/>
      <c r="V63" s="11"/>
      <c r="W63" s="11">
        <v>4</v>
      </c>
      <c r="X63" s="11"/>
      <c r="Y63" s="11"/>
      <c r="Z63" s="11"/>
      <c r="AA63" s="11">
        <v>645</v>
      </c>
      <c r="AB63" s="11">
        <v>580</v>
      </c>
      <c r="AC63" s="11" t="s">
        <v>389</v>
      </c>
      <c r="AD63" s="11">
        <v>32000</v>
      </c>
      <c r="AE63" s="11">
        <v>4094</v>
      </c>
      <c r="AF63" s="11"/>
    </row>
    <row r="64" spans="1:32" x14ac:dyDescent="0.2">
      <c r="A64" s="10" t="str">
        <f t="shared" ref="A64" si="9">IF(D64="Fixed",C64,C64&amp;"-"&amp;E64)</f>
        <v>MS390-48UX-HW-MA-MOD-8X10G</v>
      </c>
      <c r="B64" s="11" t="s">
        <v>341</v>
      </c>
      <c r="C64" s="11" t="s">
        <v>349</v>
      </c>
      <c r="D64" s="11" t="s">
        <v>129</v>
      </c>
      <c r="E64" s="11" t="s">
        <v>355</v>
      </c>
      <c r="F64" s="11" t="s">
        <v>352</v>
      </c>
      <c r="G64" s="11"/>
      <c r="H64" s="11"/>
      <c r="I64" s="11"/>
      <c r="J64" s="11"/>
      <c r="K64" s="11"/>
      <c r="L64" s="11"/>
      <c r="M64" s="11">
        <v>36</v>
      </c>
      <c r="N64" s="11"/>
      <c r="O64" s="11">
        <v>12</v>
      </c>
      <c r="P64" s="11"/>
      <c r="Q64" s="11"/>
      <c r="R64" s="11"/>
      <c r="S64" s="11"/>
      <c r="T64" s="11"/>
      <c r="U64" s="11"/>
      <c r="V64" s="11"/>
      <c r="W64" s="11">
        <v>8</v>
      </c>
      <c r="X64" s="11"/>
      <c r="Y64" s="11"/>
      <c r="Z64" s="11"/>
      <c r="AA64" s="11">
        <v>645</v>
      </c>
      <c r="AB64" s="11">
        <v>580</v>
      </c>
      <c r="AC64" s="11" t="s">
        <v>389</v>
      </c>
      <c r="AD64" s="11">
        <v>32000</v>
      </c>
      <c r="AE64" s="11">
        <v>4094</v>
      </c>
      <c r="AF64" s="11"/>
    </row>
    <row r="65" spans="1:32" x14ac:dyDescent="0.2">
      <c r="A65" s="10" t="str">
        <f t="shared" si="0"/>
        <v>MS390-48UX-HW-MA-MOD-2X40G</v>
      </c>
      <c r="B65" s="11" t="s">
        <v>341</v>
      </c>
      <c r="C65" s="11" t="s">
        <v>349</v>
      </c>
      <c r="D65" s="11" t="s">
        <v>129</v>
      </c>
      <c r="E65" s="11" t="s">
        <v>356</v>
      </c>
      <c r="F65" s="11" t="s">
        <v>352</v>
      </c>
      <c r="G65" s="11"/>
      <c r="H65" s="11"/>
      <c r="I65" s="11"/>
      <c r="J65" s="11"/>
      <c r="K65" s="11"/>
      <c r="L65" s="11"/>
      <c r="M65" s="11">
        <v>36</v>
      </c>
      <c r="N65" s="11"/>
      <c r="O65" s="11">
        <v>12</v>
      </c>
      <c r="P65" s="11"/>
      <c r="Q65" s="11"/>
      <c r="R65" s="11"/>
      <c r="S65" s="11"/>
      <c r="T65" s="11"/>
      <c r="U65" s="11"/>
      <c r="V65" s="11"/>
      <c r="W65" s="11"/>
      <c r="X65" s="11"/>
      <c r="Y65" s="11">
        <v>2</v>
      </c>
      <c r="Z65" s="11"/>
      <c r="AA65" s="11">
        <v>645</v>
      </c>
      <c r="AB65" s="11">
        <v>580</v>
      </c>
      <c r="AC65" s="11" t="s">
        <v>389</v>
      </c>
      <c r="AD65" s="11">
        <v>32000</v>
      </c>
      <c r="AE65" s="11">
        <v>4094</v>
      </c>
      <c r="AF65" s="11"/>
    </row>
    <row r="66" spans="1:32" x14ac:dyDescent="0.2">
      <c r="A66" s="10" t="str">
        <f t="shared" ref="A66" si="10">IF(D66="Fixed",C66,C66&amp;"-"&amp;E66)</f>
        <v>MS390-48UX2-HW-MA-MOD-4X10G</v>
      </c>
      <c r="B66" s="11" t="s">
        <v>341</v>
      </c>
      <c r="C66" s="11" t="s">
        <v>350</v>
      </c>
      <c r="D66" s="11" t="s">
        <v>129</v>
      </c>
      <c r="E66" s="11" t="s">
        <v>354</v>
      </c>
      <c r="F66" s="11" t="s">
        <v>352</v>
      </c>
      <c r="G66" s="11"/>
      <c r="H66" s="11"/>
      <c r="I66" s="11"/>
      <c r="J66" s="11"/>
      <c r="K66" s="11"/>
      <c r="L66" s="11"/>
      <c r="M66" s="11"/>
      <c r="N66" s="11"/>
      <c r="O66" s="11">
        <v>48</v>
      </c>
      <c r="P66" s="11"/>
      <c r="Q66" s="11"/>
      <c r="R66" s="11"/>
      <c r="S66" s="11"/>
      <c r="T66" s="11"/>
      <c r="U66" s="11"/>
      <c r="V66" s="11"/>
      <c r="W66" s="11">
        <v>4</v>
      </c>
      <c r="X66" s="11"/>
      <c r="Y66" s="11"/>
      <c r="Z66" s="11"/>
      <c r="AA66" s="11">
        <v>645</v>
      </c>
      <c r="AB66" s="11">
        <v>640</v>
      </c>
      <c r="AC66" s="11" t="s">
        <v>389</v>
      </c>
      <c r="AD66" s="11">
        <v>32000</v>
      </c>
      <c r="AE66" s="11">
        <v>4094</v>
      </c>
      <c r="AF66" s="11"/>
    </row>
    <row r="67" spans="1:32" x14ac:dyDescent="0.2">
      <c r="A67" s="10" t="str">
        <f t="shared" ref="A67" si="11">IF(D67="Fixed",C67,C67&amp;"-"&amp;E67)</f>
        <v>MS390-48UX2-HW-MA-MOD-8X10G</v>
      </c>
      <c r="B67" s="11" t="s">
        <v>341</v>
      </c>
      <c r="C67" s="11" t="s">
        <v>350</v>
      </c>
      <c r="D67" s="11" t="s">
        <v>129</v>
      </c>
      <c r="E67" s="11" t="s">
        <v>355</v>
      </c>
      <c r="F67" s="11" t="s">
        <v>352</v>
      </c>
      <c r="G67" s="11"/>
      <c r="H67" s="11"/>
      <c r="I67" s="11"/>
      <c r="J67" s="11"/>
      <c r="K67" s="11"/>
      <c r="L67" s="11"/>
      <c r="M67" s="11"/>
      <c r="N67" s="11"/>
      <c r="O67" s="11">
        <v>48</v>
      </c>
      <c r="P67" s="11"/>
      <c r="Q67" s="11"/>
      <c r="R67" s="11"/>
      <c r="S67" s="11"/>
      <c r="T67" s="11"/>
      <c r="U67" s="11"/>
      <c r="V67" s="11"/>
      <c r="W67" s="11">
        <v>8</v>
      </c>
      <c r="X67" s="11"/>
      <c r="Y67" s="11"/>
      <c r="Z67" s="11"/>
      <c r="AA67" s="11">
        <v>645</v>
      </c>
      <c r="AB67" s="11">
        <v>640</v>
      </c>
      <c r="AC67" s="11" t="s">
        <v>389</v>
      </c>
      <c r="AD67" s="11">
        <v>32000</v>
      </c>
      <c r="AE67" s="11">
        <v>4094</v>
      </c>
      <c r="AF67" s="11"/>
    </row>
    <row r="68" spans="1:32" x14ac:dyDescent="0.2">
      <c r="A68" s="10" t="str">
        <f t="shared" si="0"/>
        <v>MS390-48UX2-HW-MA-MOD-2X40G</v>
      </c>
      <c r="B68" s="11" t="s">
        <v>341</v>
      </c>
      <c r="C68" s="11" t="s">
        <v>350</v>
      </c>
      <c r="D68" s="11" t="s">
        <v>129</v>
      </c>
      <c r="E68" s="11" t="s">
        <v>356</v>
      </c>
      <c r="F68" s="11" t="s">
        <v>352</v>
      </c>
      <c r="G68" s="11"/>
      <c r="H68" s="11"/>
      <c r="I68" s="11"/>
      <c r="J68" s="11"/>
      <c r="K68" s="11"/>
      <c r="L68" s="11"/>
      <c r="M68" s="11"/>
      <c r="N68" s="11"/>
      <c r="O68" s="11">
        <v>48</v>
      </c>
      <c r="P68" s="11"/>
      <c r="Q68" s="11"/>
      <c r="R68" s="11"/>
      <c r="S68" s="11"/>
      <c r="T68" s="11"/>
      <c r="U68" s="11"/>
      <c r="V68" s="11"/>
      <c r="W68" s="11"/>
      <c r="X68" s="11"/>
      <c r="Y68" s="11">
        <v>2</v>
      </c>
      <c r="Z68" s="11"/>
      <c r="AA68" s="11">
        <v>645</v>
      </c>
      <c r="AB68" s="11">
        <v>640</v>
      </c>
      <c r="AC68" s="11" t="s">
        <v>389</v>
      </c>
      <c r="AD68" s="11">
        <v>32000</v>
      </c>
      <c r="AE68" s="11">
        <v>4094</v>
      </c>
      <c r="AF68" s="11"/>
    </row>
    <row r="69" spans="1:32" x14ac:dyDescent="0.2">
      <c r="A69" s="10" t="str">
        <f t="shared" si="0"/>
        <v>MS410-16-HW</v>
      </c>
      <c r="B69" s="11" t="s">
        <v>323</v>
      </c>
      <c r="C69" s="12" t="s">
        <v>324</v>
      </c>
      <c r="D69" s="11" t="s">
        <v>128</v>
      </c>
      <c r="E69" s="11"/>
      <c r="F69" s="11" t="s">
        <v>353</v>
      </c>
      <c r="G69" s="11"/>
      <c r="H69" s="11"/>
      <c r="I69" s="11"/>
      <c r="J69" s="11"/>
      <c r="K69" s="11"/>
      <c r="L69" s="11">
        <v>16</v>
      </c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>
        <v>2</v>
      </c>
      <c r="X69" s="11"/>
      <c r="Y69" s="11"/>
      <c r="Z69" s="11"/>
      <c r="AA69" s="11"/>
      <c r="AB69" s="11">
        <v>144</v>
      </c>
      <c r="AC69" s="11" t="s">
        <v>389</v>
      </c>
      <c r="AD69" s="11">
        <v>96000</v>
      </c>
      <c r="AE69" s="11">
        <v>4094</v>
      </c>
      <c r="AF69" s="11"/>
    </row>
    <row r="70" spans="1:32" x14ac:dyDescent="0.2">
      <c r="A70" s="10" t="str">
        <f t="shared" si="0"/>
        <v>MS410-32-HW</v>
      </c>
      <c r="B70" s="11" t="s">
        <v>323</v>
      </c>
      <c r="C70" s="12" t="s">
        <v>325</v>
      </c>
      <c r="D70" s="11" t="s">
        <v>128</v>
      </c>
      <c r="E70" s="11"/>
      <c r="F70" s="11" t="s">
        <v>353</v>
      </c>
      <c r="G70" s="11"/>
      <c r="H70" s="11"/>
      <c r="I70" s="11"/>
      <c r="J70" s="11"/>
      <c r="K70" s="11"/>
      <c r="L70" s="11">
        <v>32</v>
      </c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>
        <v>4</v>
      </c>
      <c r="X70" s="11"/>
      <c r="Y70" s="11"/>
      <c r="Z70" s="11"/>
      <c r="AA70" s="11"/>
      <c r="AB70" s="11">
        <v>144</v>
      </c>
      <c r="AC70" s="11" t="s">
        <v>389</v>
      </c>
      <c r="AD70" s="11">
        <v>96000</v>
      </c>
      <c r="AE70" s="11">
        <v>4094</v>
      </c>
      <c r="AF70" s="11"/>
    </row>
    <row r="71" spans="1:32" x14ac:dyDescent="0.2">
      <c r="A71" s="10" t="str">
        <f t="shared" si="0"/>
        <v>MS425-16-HW</v>
      </c>
      <c r="B71" s="11" t="s">
        <v>326</v>
      </c>
      <c r="C71" s="12" t="s">
        <v>327</v>
      </c>
      <c r="D71" s="11" t="s">
        <v>128</v>
      </c>
      <c r="E71" s="11"/>
      <c r="F71" s="11" t="s">
        <v>353</v>
      </c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>
        <v>16</v>
      </c>
      <c r="R71" s="11"/>
      <c r="S71" s="11"/>
      <c r="T71" s="11"/>
      <c r="U71" s="11"/>
      <c r="V71" s="11"/>
      <c r="W71" s="11"/>
      <c r="X71" s="11"/>
      <c r="Y71" s="11">
        <v>2</v>
      </c>
      <c r="Z71" s="11"/>
      <c r="AA71" s="11"/>
      <c r="AB71" s="11">
        <v>800</v>
      </c>
      <c r="AC71" s="11" t="s">
        <v>389</v>
      </c>
      <c r="AD71" s="11">
        <v>96000</v>
      </c>
      <c r="AE71" s="11">
        <v>4094</v>
      </c>
      <c r="AF71" s="11"/>
    </row>
    <row r="72" spans="1:32" x14ac:dyDescent="0.2">
      <c r="A72" s="10" t="str">
        <f t="shared" si="0"/>
        <v>MS425-32-HW</v>
      </c>
      <c r="B72" s="11" t="s">
        <v>326</v>
      </c>
      <c r="C72" s="2" t="s">
        <v>328</v>
      </c>
      <c r="D72" s="11" t="s">
        <v>128</v>
      </c>
      <c r="E72" s="11"/>
      <c r="F72" s="11" t="s">
        <v>353</v>
      </c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>
        <v>32</v>
      </c>
      <c r="R72" s="11"/>
      <c r="S72" s="11"/>
      <c r="T72" s="11"/>
      <c r="U72" s="11"/>
      <c r="V72" s="11"/>
      <c r="W72" s="11"/>
      <c r="X72" s="11"/>
      <c r="Y72" s="11">
        <v>2</v>
      </c>
      <c r="Z72" s="11"/>
      <c r="AA72" s="11"/>
      <c r="AB72" s="11">
        <v>800</v>
      </c>
      <c r="AC72" s="11" t="s">
        <v>389</v>
      </c>
      <c r="AD72" s="11">
        <v>228000</v>
      </c>
      <c r="AE72" s="11">
        <v>4094</v>
      </c>
      <c r="AF72" s="11"/>
    </row>
    <row r="73" spans="1:32" x14ac:dyDescent="0.2">
      <c r="A73" s="10" t="str">
        <f t="shared" si="0"/>
        <v>MS450-12-HW</v>
      </c>
      <c r="B73" s="11" t="s">
        <v>197</v>
      </c>
      <c r="C73" s="11" t="s">
        <v>329</v>
      </c>
      <c r="D73" s="11" t="s">
        <v>128</v>
      </c>
      <c r="E73" s="11"/>
      <c r="F73" s="11" t="s">
        <v>353</v>
      </c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>
        <v>12</v>
      </c>
      <c r="U73" s="11"/>
      <c r="V73" s="11"/>
      <c r="W73" s="11"/>
      <c r="X73" s="11"/>
      <c r="Y73" s="11"/>
      <c r="Z73" s="11">
        <v>2</v>
      </c>
      <c r="AA73" s="11"/>
      <c r="AB73" s="11">
        <v>1360</v>
      </c>
      <c r="AC73" s="11" t="s">
        <v>389</v>
      </c>
      <c r="AD73" s="11">
        <v>64000</v>
      </c>
      <c r="AE73" s="11">
        <v>4094</v>
      </c>
      <c r="AF73" s="11"/>
    </row>
    <row r="74" spans="1:32" x14ac:dyDescent="0.2">
      <c r="A74" s="10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</row>
    <row r="75" spans="1:32" x14ac:dyDescent="0.2">
      <c r="A75" s="10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</row>
    <row r="76" spans="1:32" x14ac:dyDescent="0.2">
      <c r="A76" s="10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</row>
    <row r="77" spans="1:32" x14ac:dyDescent="0.2">
      <c r="A77" s="10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</row>
    <row r="78" spans="1:32" x14ac:dyDescent="0.2">
      <c r="A78" s="10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</row>
    <row r="79" spans="1:32" x14ac:dyDescent="0.2">
      <c r="A79" s="10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</row>
    <row r="80" spans="1:32" x14ac:dyDescent="0.2">
      <c r="A80" s="10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</row>
    <row r="81" spans="1:32" x14ac:dyDescent="0.2">
      <c r="A81" s="10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</row>
    <row r="82" spans="1:32" x14ac:dyDescent="0.2">
      <c r="A82" s="10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</row>
    <row r="83" spans="1:32" x14ac:dyDescent="0.2">
      <c r="A83" s="10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</row>
    <row r="84" spans="1:32" x14ac:dyDescent="0.2">
      <c r="A84" s="10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</row>
    <row r="85" spans="1:32" x14ac:dyDescent="0.2">
      <c r="A85" s="10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</row>
    <row r="86" spans="1:32" x14ac:dyDescent="0.2">
      <c r="A86" s="10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</row>
    <row r="87" spans="1:32" x14ac:dyDescent="0.2">
      <c r="A87" s="10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</row>
    <row r="88" spans="1:32" x14ac:dyDescent="0.2">
      <c r="A88" s="10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</row>
    <row r="89" spans="1:32" x14ac:dyDescent="0.2">
      <c r="A89" s="10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</row>
    <row r="90" spans="1:32" x14ac:dyDescent="0.2">
      <c r="A90" s="10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</row>
    <row r="91" spans="1:32" x14ac:dyDescent="0.2">
      <c r="A91" s="10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</row>
    <row r="92" spans="1:32" x14ac:dyDescent="0.2">
      <c r="A92" s="10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</row>
    <row r="93" spans="1:32" x14ac:dyDescent="0.2">
      <c r="A93" s="10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</row>
    <row r="94" spans="1:32" x14ac:dyDescent="0.2">
      <c r="A94" s="10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</row>
    <row r="95" spans="1:32" x14ac:dyDescent="0.2">
      <c r="A95" s="10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</row>
    <row r="96" spans="1:32" x14ac:dyDescent="0.2">
      <c r="A96" s="10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</row>
    <row r="97" spans="1:32" x14ac:dyDescent="0.2">
      <c r="A97" s="10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</row>
    <row r="98" spans="1:32" x14ac:dyDescent="0.2">
      <c r="A98" s="10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</row>
    <row r="99" spans="1:32" x14ac:dyDescent="0.2">
      <c r="A99" s="10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</row>
    <row r="100" spans="1:32" x14ac:dyDescent="0.2">
      <c r="A100" s="10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</row>
    <row r="101" spans="1:32" x14ac:dyDescent="0.2">
      <c r="A101" s="10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</row>
    <row r="102" spans="1:32" x14ac:dyDescent="0.2">
      <c r="A102" s="10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</row>
    <row r="103" spans="1:32" x14ac:dyDescent="0.2">
      <c r="A103" s="10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</row>
    <row r="104" spans="1:32" x14ac:dyDescent="0.2">
      <c r="A104" s="10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</row>
    <row r="105" spans="1:32" x14ac:dyDescent="0.2">
      <c r="A105" s="10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</row>
    <row r="106" spans="1:32" x14ac:dyDescent="0.2">
      <c r="A106" s="10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</row>
    <row r="107" spans="1:32" x14ac:dyDescent="0.2">
      <c r="A107" s="10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</row>
    <row r="108" spans="1:32" x14ac:dyDescent="0.2">
      <c r="A108" s="10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:32" x14ac:dyDescent="0.2">
      <c r="A109" s="10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:32" x14ac:dyDescent="0.2">
      <c r="A110" s="10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</row>
    <row r="111" spans="1:32" x14ac:dyDescent="0.2">
      <c r="A111" s="10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</row>
    <row r="112" spans="1:32" x14ac:dyDescent="0.2">
      <c r="A112" s="10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</row>
    <row r="113" spans="1:32" x14ac:dyDescent="0.2">
      <c r="A113" s="10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</row>
    <row r="114" spans="1:32" x14ac:dyDescent="0.2">
      <c r="A114" s="10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</row>
    <row r="115" spans="1:32" x14ac:dyDescent="0.2">
      <c r="A115" s="10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</row>
    <row r="116" spans="1:32" x14ac:dyDescent="0.2">
      <c r="A116" s="10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</row>
    <row r="117" spans="1:32" x14ac:dyDescent="0.2">
      <c r="A117" s="10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</row>
    <row r="118" spans="1:32" x14ac:dyDescent="0.2">
      <c r="A118" s="10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</row>
    <row r="119" spans="1:32" x14ac:dyDescent="0.2">
      <c r="A119" s="10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</row>
    <row r="120" spans="1:32" x14ac:dyDescent="0.2">
      <c r="A120" s="10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</row>
    <row r="121" spans="1:32" x14ac:dyDescent="0.2">
      <c r="A121" s="10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</row>
    <row r="122" spans="1:32" x14ac:dyDescent="0.2">
      <c r="A122" s="10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</row>
    <row r="123" spans="1:32" x14ac:dyDescent="0.2">
      <c r="A123" s="10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</row>
    <row r="124" spans="1:32" x14ac:dyDescent="0.2">
      <c r="A124" s="10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</row>
    <row r="125" spans="1:32" x14ac:dyDescent="0.2">
      <c r="A125" s="10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</row>
    <row r="126" spans="1:32" x14ac:dyDescent="0.2">
      <c r="A126" s="10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</row>
    <row r="127" spans="1:32" x14ac:dyDescent="0.2">
      <c r="A127" s="10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</row>
    <row r="128" spans="1:32" x14ac:dyDescent="0.2">
      <c r="A128" s="10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</row>
    <row r="129" spans="1:32" x14ac:dyDescent="0.2">
      <c r="A129" s="10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</row>
    <row r="130" spans="1:32" x14ac:dyDescent="0.2">
      <c r="A130" s="10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</row>
    <row r="131" spans="1:32" x14ac:dyDescent="0.2">
      <c r="A131" s="10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</row>
    <row r="132" spans="1:32" x14ac:dyDescent="0.2">
      <c r="A132" s="10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</row>
    <row r="133" spans="1:32" x14ac:dyDescent="0.2">
      <c r="A133" s="10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</row>
    <row r="134" spans="1:32" x14ac:dyDescent="0.2">
      <c r="A134" s="10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</row>
    <row r="135" spans="1:32" x14ac:dyDescent="0.2">
      <c r="A135" s="10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</row>
    <row r="136" spans="1:32" x14ac:dyDescent="0.2">
      <c r="A136" s="10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</row>
    <row r="137" spans="1:32" x14ac:dyDescent="0.2">
      <c r="A137" s="10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</row>
    <row r="138" spans="1:32" x14ac:dyDescent="0.2">
      <c r="A138" s="10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</row>
    <row r="139" spans="1:32" x14ac:dyDescent="0.2">
      <c r="A139" s="10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</row>
    <row r="140" spans="1:32" x14ac:dyDescent="0.2">
      <c r="A140" s="10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</row>
    <row r="141" spans="1:32" x14ac:dyDescent="0.2">
      <c r="A141" s="10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</row>
    <row r="142" spans="1:32" x14ac:dyDescent="0.2">
      <c r="A142" s="10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</row>
    <row r="143" spans="1:32" x14ac:dyDescent="0.2">
      <c r="A143" s="10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</row>
    <row r="144" spans="1:32" x14ac:dyDescent="0.2">
      <c r="A144" s="10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</row>
    <row r="145" spans="1:32" x14ac:dyDescent="0.2">
      <c r="A145" s="10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</row>
    <row r="146" spans="1:32" x14ac:dyDescent="0.2">
      <c r="A146" s="10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</row>
    <row r="147" spans="1:32" x14ac:dyDescent="0.2">
      <c r="A147" s="10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</row>
    <row r="148" spans="1:32" x14ac:dyDescent="0.2">
      <c r="A148" s="10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</row>
    <row r="149" spans="1:32" x14ac:dyDescent="0.2">
      <c r="A149" s="10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</row>
    <row r="150" spans="1:32" x14ac:dyDescent="0.2">
      <c r="A150" s="10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</row>
    <row r="151" spans="1:32" x14ac:dyDescent="0.2">
      <c r="A151" s="10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</row>
    <row r="152" spans="1:32" x14ac:dyDescent="0.2">
      <c r="A152" s="10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</row>
    <row r="153" spans="1:32" x14ac:dyDescent="0.2">
      <c r="A153" s="10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</row>
    <row r="154" spans="1:32" x14ac:dyDescent="0.2">
      <c r="A154" s="10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</row>
    <row r="155" spans="1:32" x14ac:dyDescent="0.2">
      <c r="A155" s="10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</row>
    <row r="156" spans="1:32" x14ac:dyDescent="0.2">
      <c r="A156" s="10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</row>
    <row r="157" spans="1:32" x14ac:dyDescent="0.2">
      <c r="A157" s="10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</row>
    <row r="158" spans="1:32" x14ac:dyDescent="0.2">
      <c r="A158" s="10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</row>
    <row r="159" spans="1:32" x14ac:dyDescent="0.2">
      <c r="A159" s="10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</row>
    <row r="160" spans="1:32" x14ac:dyDescent="0.2">
      <c r="A160" s="10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</row>
    <row r="161" spans="1:32" x14ac:dyDescent="0.2">
      <c r="A161" s="10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</row>
    <row r="162" spans="1:32" x14ac:dyDescent="0.2">
      <c r="A162" s="10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</row>
    <row r="163" spans="1:32" x14ac:dyDescent="0.2">
      <c r="A163" s="10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</row>
    <row r="164" spans="1:32" x14ac:dyDescent="0.2">
      <c r="A164" s="10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</row>
    <row r="165" spans="1:32" x14ac:dyDescent="0.2">
      <c r="A165" s="10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</row>
    <row r="166" spans="1:32" x14ac:dyDescent="0.2">
      <c r="A166" s="10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</row>
    <row r="167" spans="1:32" x14ac:dyDescent="0.2">
      <c r="A167" s="10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</row>
    <row r="168" spans="1:32" x14ac:dyDescent="0.2">
      <c r="A168" s="10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</row>
    <row r="169" spans="1:32" x14ac:dyDescent="0.2">
      <c r="A169" s="10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</row>
    <row r="170" spans="1:32" x14ac:dyDescent="0.2">
      <c r="A170" s="10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</row>
    <row r="171" spans="1:32" x14ac:dyDescent="0.2">
      <c r="A171" s="10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</row>
    <row r="172" spans="1:32" x14ac:dyDescent="0.2">
      <c r="A172" s="10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</row>
    <row r="173" spans="1:32" x14ac:dyDescent="0.2">
      <c r="A173" s="10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</row>
    <row r="174" spans="1:32" x14ac:dyDescent="0.2">
      <c r="A174" s="10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</row>
    <row r="175" spans="1:32" x14ac:dyDescent="0.2">
      <c r="A175" s="10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</row>
    <row r="176" spans="1:32" x14ac:dyDescent="0.2">
      <c r="A176" s="10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</row>
    <row r="177" spans="1:32" x14ac:dyDescent="0.2">
      <c r="A177" s="10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</row>
    <row r="178" spans="1:32" x14ac:dyDescent="0.2">
      <c r="A178" s="10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</row>
    <row r="179" spans="1:32" x14ac:dyDescent="0.2">
      <c r="A179" s="10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</row>
    <row r="180" spans="1:32" x14ac:dyDescent="0.2">
      <c r="A180" s="10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</row>
    <row r="181" spans="1:32" x14ac:dyDescent="0.2">
      <c r="A181" s="10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</row>
    <row r="182" spans="1:32" x14ac:dyDescent="0.2">
      <c r="A182" s="10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</row>
    <row r="183" spans="1:32" x14ac:dyDescent="0.2">
      <c r="A183" s="10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</row>
    <row r="184" spans="1:32" x14ac:dyDescent="0.2">
      <c r="A184" s="10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</row>
    <row r="185" spans="1:32" x14ac:dyDescent="0.2">
      <c r="A185" s="10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</row>
    <row r="186" spans="1:32" x14ac:dyDescent="0.2">
      <c r="A186" s="10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</row>
    <row r="187" spans="1:32" x14ac:dyDescent="0.2">
      <c r="A187" s="10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</row>
    <row r="188" spans="1:32" x14ac:dyDescent="0.2">
      <c r="A188" s="10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</row>
    <row r="189" spans="1:32" x14ac:dyDescent="0.2">
      <c r="A189" s="10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</row>
    <row r="190" spans="1:32" x14ac:dyDescent="0.2">
      <c r="A190" s="10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</row>
    <row r="191" spans="1:32" x14ac:dyDescent="0.2">
      <c r="A191" s="10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</row>
    <row r="192" spans="1:32" x14ac:dyDescent="0.2">
      <c r="A192" s="10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</row>
    <row r="193" spans="1:32" x14ac:dyDescent="0.2">
      <c r="A193" s="10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</row>
    <row r="194" spans="1:32" x14ac:dyDescent="0.2">
      <c r="A194" s="10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</row>
    <row r="195" spans="1:32" x14ac:dyDescent="0.2">
      <c r="A195" s="10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</row>
  </sheetData>
  <mergeCells count="16">
    <mergeCell ref="A1:A3"/>
    <mergeCell ref="B1:E1"/>
    <mergeCell ref="AF1:AF3"/>
    <mergeCell ref="B2:B3"/>
    <mergeCell ref="C2:C3"/>
    <mergeCell ref="D2:D3"/>
    <mergeCell ref="E2:E3"/>
    <mergeCell ref="G2:T2"/>
    <mergeCell ref="F1:AE1"/>
    <mergeCell ref="F2:F3"/>
    <mergeCell ref="U2:Z2"/>
    <mergeCell ref="AA2:AA3"/>
    <mergeCell ref="AB2:AB3"/>
    <mergeCell ref="AC2:AC3"/>
    <mergeCell ref="AD2:AD3"/>
    <mergeCell ref="AE2:AE3"/>
  </mergeCells>
  <phoneticPr fontId="3" type="noConversion"/>
  <conditionalFormatting sqref="C73:C1048576 C9:C33 C36:C42 C1:C7 C45 C50 C53 C56 C59 C62 C65 C68:C71">
    <cfRule type="duplicateValues" dxfId="75" priority="116"/>
  </conditionalFormatting>
  <conditionalFormatting sqref="C50 C45 C1:C42 C53 C56 C59 C62 C65 C68:C1048576">
    <cfRule type="duplicateValues" dxfId="74" priority="142"/>
    <cfRule type="duplicateValues" dxfId="73" priority="143"/>
    <cfRule type="duplicateValues" dxfId="72" priority="144"/>
  </conditionalFormatting>
  <conditionalFormatting sqref="C44">
    <cfRule type="duplicateValues" dxfId="71" priority="69"/>
  </conditionalFormatting>
  <conditionalFormatting sqref="C44">
    <cfRule type="duplicateValues" dxfId="70" priority="70"/>
    <cfRule type="duplicateValues" dxfId="69" priority="71"/>
    <cfRule type="duplicateValues" dxfId="68" priority="72"/>
  </conditionalFormatting>
  <conditionalFormatting sqref="C43">
    <cfRule type="duplicateValues" dxfId="67" priority="65"/>
  </conditionalFormatting>
  <conditionalFormatting sqref="C43">
    <cfRule type="duplicateValues" dxfId="66" priority="66"/>
    <cfRule type="duplicateValues" dxfId="65" priority="67"/>
    <cfRule type="duplicateValues" dxfId="64" priority="68"/>
  </conditionalFormatting>
  <conditionalFormatting sqref="C46">
    <cfRule type="duplicateValues" dxfId="63" priority="61"/>
  </conditionalFormatting>
  <conditionalFormatting sqref="C46">
    <cfRule type="duplicateValues" dxfId="62" priority="62"/>
    <cfRule type="duplicateValues" dxfId="61" priority="63"/>
    <cfRule type="duplicateValues" dxfId="60" priority="64"/>
  </conditionalFormatting>
  <conditionalFormatting sqref="C47">
    <cfRule type="duplicateValues" dxfId="59" priority="57"/>
  </conditionalFormatting>
  <conditionalFormatting sqref="C47">
    <cfRule type="duplicateValues" dxfId="58" priority="58"/>
    <cfRule type="duplicateValues" dxfId="57" priority="59"/>
    <cfRule type="duplicateValues" dxfId="56" priority="60"/>
  </conditionalFormatting>
  <conditionalFormatting sqref="C48">
    <cfRule type="duplicateValues" dxfId="55" priority="53"/>
  </conditionalFormatting>
  <conditionalFormatting sqref="C48">
    <cfRule type="duplicateValues" dxfId="54" priority="54"/>
    <cfRule type="duplicateValues" dxfId="53" priority="55"/>
    <cfRule type="duplicateValues" dxfId="52" priority="56"/>
  </conditionalFormatting>
  <conditionalFormatting sqref="C49">
    <cfRule type="duplicateValues" dxfId="51" priority="49"/>
  </conditionalFormatting>
  <conditionalFormatting sqref="C49">
    <cfRule type="duplicateValues" dxfId="50" priority="50"/>
    <cfRule type="duplicateValues" dxfId="49" priority="51"/>
    <cfRule type="duplicateValues" dxfId="48" priority="52"/>
  </conditionalFormatting>
  <conditionalFormatting sqref="C51">
    <cfRule type="duplicateValues" dxfId="47" priority="45"/>
  </conditionalFormatting>
  <conditionalFormatting sqref="C51">
    <cfRule type="duplicateValues" dxfId="46" priority="46"/>
    <cfRule type="duplicateValues" dxfId="45" priority="47"/>
    <cfRule type="duplicateValues" dxfId="44" priority="48"/>
  </conditionalFormatting>
  <conditionalFormatting sqref="C52">
    <cfRule type="duplicateValues" dxfId="43" priority="41"/>
  </conditionalFormatting>
  <conditionalFormatting sqref="C52">
    <cfRule type="duplicateValues" dxfId="42" priority="42"/>
    <cfRule type="duplicateValues" dxfId="41" priority="43"/>
    <cfRule type="duplicateValues" dxfId="40" priority="44"/>
  </conditionalFormatting>
  <conditionalFormatting sqref="C54">
    <cfRule type="duplicateValues" dxfId="39" priority="37"/>
  </conditionalFormatting>
  <conditionalFormatting sqref="C54">
    <cfRule type="duplicateValues" dxfId="38" priority="38"/>
    <cfRule type="duplicateValues" dxfId="37" priority="39"/>
    <cfRule type="duplicateValues" dxfId="36" priority="40"/>
  </conditionalFormatting>
  <conditionalFormatting sqref="C55">
    <cfRule type="duplicateValues" dxfId="35" priority="33"/>
  </conditionalFormatting>
  <conditionalFormatting sqref="C55">
    <cfRule type="duplicateValues" dxfId="34" priority="34"/>
    <cfRule type="duplicateValues" dxfId="33" priority="35"/>
    <cfRule type="duplicateValues" dxfId="32" priority="36"/>
  </conditionalFormatting>
  <conditionalFormatting sqref="C57">
    <cfRule type="duplicateValues" dxfId="31" priority="29"/>
  </conditionalFormatting>
  <conditionalFormatting sqref="C57">
    <cfRule type="duplicateValues" dxfId="30" priority="30"/>
    <cfRule type="duplicateValues" dxfId="29" priority="31"/>
    <cfRule type="duplicateValues" dxfId="28" priority="32"/>
  </conditionalFormatting>
  <conditionalFormatting sqref="C58">
    <cfRule type="duplicateValues" dxfId="27" priority="25"/>
  </conditionalFormatting>
  <conditionalFormatting sqref="C58">
    <cfRule type="duplicateValues" dxfId="26" priority="26"/>
    <cfRule type="duplicateValues" dxfId="25" priority="27"/>
    <cfRule type="duplicateValues" dxfId="24" priority="28"/>
  </conditionalFormatting>
  <conditionalFormatting sqref="C60">
    <cfRule type="duplicateValues" dxfId="23" priority="21"/>
  </conditionalFormatting>
  <conditionalFormatting sqref="C60">
    <cfRule type="duplicateValues" dxfId="22" priority="22"/>
    <cfRule type="duplicateValues" dxfId="21" priority="23"/>
    <cfRule type="duplicateValues" dxfId="20" priority="24"/>
  </conditionalFormatting>
  <conditionalFormatting sqref="C61">
    <cfRule type="duplicateValues" dxfId="19" priority="17"/>
  </conditionalFormatting>
  <conditionalFormatting sqref="C61">
    <cfRule type="duplicateValues" dxfId="18" priority="18"/>
    <cfRule type="duplicateValues" dxfId="17" priority="19"/>
    <cfRule type="duplicateValues" dxfId="16" priority="20"/>
  </conditionalFormatting>
  <conditionalFormatting sqref="C64">
    <cfRule type="duplicateValues" dxfId="15" priority="13"/>
  </conditionalFormatting>
  <conditionalFormatting sqref="C64">
    <cfRule type="duplicateValues" dxfId="14" priority="14"/>
    <cfRule type="duplicateValues" dxfId="13" priority="15"/>
    <cfRule type="duplicateValues" dxfId="12" priority="16"/>
  </conditionalFormatting>
  <conditionalFormatting sqref="C63">
    <cfRule type="duplicateValues" dxfId="11" priority="9"/>
  </conditionalFormatting>
  <conditionalFormatting sqref="C63">
    <cfRule type="duplicateValues" dxfId="10" priority="10"/>
    <cfRule type="duplicateValues" dxfId="9" priority="11"/>
    <cfRule type="duplicateValues" dxfId="8" priority="12"/>
  </conditionalFormatting>
  <conditionalFormatting sqref="C67">
    <cfRule type="duplicateValues" dxfId="7" priority="5"/>
  </conditionalFormatting>
  <conditionalFormatting sqref="C67">
    <cfRule type="duplicateValues" dxfId="6" priority="6"/>
    <cfRule type="duplicateValues" dxfId="5" priority="7"/>
    <cfRule type="duplicateValues" dxfId="4" priority="8"/>
  </conditionalFormatting>
  <conditionalFormatting sqref="C66">
    <cfRule type="duplicateValues" dxfId="3" priority="1"/>
  </conditionalFormatting>
  <conditionalFormatting sqref="C66">
    <cfRule type="duplicateValues" dxfId="2" priority="2"/>
    <cfRule type="duplicateValues" dxfId="1" priority="3"/>
    <cfRule type="duplicateValues" dxfId="0" priority="4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19F06-F7F8-6F49-98D7-35E438E33934}">
  <sheetPr codeName="Sheet5"/>
  <dimension ref="A1:C195"/>
  <sheetViews>
    <sheetView workbookViewId="0">
      <selection activeCell="F24" sqref="F24"/>
    </sheetView>
  </sheetViews>
  <sheetFormatPr baseColWidth="10" defaultRowHeight="16" x14ac:dyDescent="0.2"/>
  <cols>
    <col min="1" max="1" width="13.83203125" style="8" customWidth="1"/>
    <col min="2" max="3" width="32.1640625" style="8" customWidth="1"/>
  </cols>
  <sheetData>
    <row r="1" spans="1:3" x14ac:dyDescent="0.2">
      <c r="A1" s="16" t="s">
        <v>123</v>
      </c>
      <c r="B1" s="17" t="s">
        <v>358</v>
      </c>
      <c r="C1" s="18" t="s">
        <v>176</v>
      </c>
    </row>
    <row r="2" spans="1:3" x14ac:dyDescent="0.2">
      <c r="A2" s="3">
        <v>1</v>
      </c>
      <c r="B2" s="3" t="s">
        <v>0</v>
      </c>
      <c r="C2" s="3" t="s">
        <v>184</v>
      </c>
    </row>
    <row r="3" spans="1:3" x14ac:dyDescent="0.2">
      <c r="A3" s="3">
        <v>2</v>
      </c>
      <c r="B3" s="3" t="s">
        <v>1</v>
      </c>
      <c r="C3" s="3" t="s">
        <v>190</v>
      </c>
    </row>
    <row r="4" spans="1:3" x14ac:dyDescent="0.2">
      <c r="A4" s="3">
        <v>3</v>
      </c>
      <c r="B4" s="3" t="s">
        <v>2</v>
      </c>
      <c r="C4" s="3" t="s">
        <v>182</v>
      </c>
    </row>
    <row r="5" spans="1:3" x14ac:dyDescent="0.2">
      <c r="A5" s="3">
        <v>4</v>
      </c>
      <c r="B5" s="3" t="s">
        <v>3</v>
      </c>
      <c r="C5" s="3" t="s">
        <v>183</v>
      </c>
    </row>
    <row r="6" spans="1:3" x14ac:dyDescent="0.2">
      <c r="A6" s="3">
        <v>5</v>
      </c>
      <c r="B6" s="3" t="s">
        <v>4</v>
      </c>
      <c r="C6" s="3" t="s">
        <v>181</v>
      </c>
    </row>
    <row r="7" spans="1:3" x14ac:dyDescent="0.2">
      <c r="A7" s="3">
        <v>6</v>
      </c>
      <c r="B7" s="3" t="s">
        <v>5</v>
      </c>
      <c r="C7" s="3" t="s">
        <v>180</v>
      </c>
    </row>
    <row r="8" spans="1:3" x14ac:dyDescent="0.2">
      <c r="A8" s="3">
        <v>7</v>
      </c>
      <c r="B8" s="3" t="s">
        <v>6</v>
      </c>
      <c r="C8" s="3" t="s">
        <v>189</v>
      </c>
    </row>
    <row r="9" spans="1:3" x14ac:dyDescent="0.2">
      <c r="A9" s="3">
        <v>8</v>
      </c>
      <c r="B9" s="3" t="s">
        <v>7</v>
      </c>
      <c r="C9" s="3" t="s">
        <v>178</v>
      </c>
    </row>
    <row r="10" spans="1:3" x14ac:dyDescent="0.2">
      <c r="A10" s="3">
        <v>9</v>
      </c>
      <c r="B10" s="3" t="s">
        <v>8</v>
      </c>
      <c r="C10" s="3" t="s">
        <v>179</v>
      </c>
    </row>
    <row r="11" spans="1:3" x14ac:dyDescent="0.2">
      <c r="A11" s="3">
        <v>10</v>
      </c>
      <c r="B11" s="3" t="s">
        <v>9</v>
      </c>
      <c r="C11" s="3" t="s">
        <v>177</v>
      </c>
    </row>
    <row r="12" spans="1:3" x14ac:dyDescent="0.2">
      <c r="A12" s="3">
        <v>11</v>
      </c>
      <c r="B12" s="3" t="s">
        <v>10</v>
      </c>
      <c r="C12" s="3" t="s">
        <v>178</v>
      </c>
    </row>
    <row r="13" spans="1:3" x14ac:dyDescent="0.2">
      <c r="A13" s="3">
        <v>12</v>
      </c>
      <c r="B13" s="3" t="s">
        <v>11</v>
      </c>
      <c r="C13" s="3" t="s">
        <v>179</v>
      </c>
    </row>
    <row r="14" spans="1:3" x14ac:dyDescent="0.2">
      <c r="A14" s="3">
        <v>13</v>
      </c>
      <c r="B14" s="3" t="s">
        <v>12</v>
      </c>
      <c r="C14" s="3" t="s">
        <v>177</v>
      </c>
    </row>
    <row r="15" spans="1:3" x14ac:dyDescent="0.2">
      <c r="A15" s="3">
        <v>14</v>
      </c>
      <c r="B15" s="3" t="s">
        <v>13</v>
      </c>
      <c r="C15" s="3" t="s">
        <v>311</v>
      </c>
    </row>
    <row r="16" spans="1:3" x14ac:dyDescent="0.2">
      <c r="A16" s="3">
        <v>15</v>
      </c>
      <c r="B16" s="3" t="s">
        <v>14</v>
      </c>
      <c r="C16" s="3" t="s">
        <v>313</v>
      </c>
    </row>
    <row r="17" spans="1:3" x14ac:dyDescent="0.2">
      <c r="A17" s="3">
        <v>16</v>
      </c>
      <c r="B17" s="3" t="s">
        <v>15</v>
      </c>
      <c r="C17" s="3" t="s">
        <v>188</v>
      </c>
    </row>
    <row r="18" spans="1:3" x14ac:dyDescent="0.2">
      <c r="A18" s="3">
        <v>17</v>
      </c>
      <c r="B18" s="3" t="s">
        <v>411</v>
      </c>
      <c r="C18" s="3" t="s">
        <v>196</v>
      </c>
    </row>
    <row r="19" spans="1:3" x14ac:dyDescent="0.2">
      <c r="A19" s="3">
        <v>18</v>
      </c>
      <c r="B19" s="3" t="s">
        <v>16</v>
      </c>
      <c r="C19" s="3" t="s">
        <v>186</v>
      </c>
    </row>
    <row r="20" spans="1:3" x14ac:dyDescent="0.2">
      <c r="A20" s="3">
        <v>19</v>
      </c>
      <c r="B20" s="3" t="s">
        <v>17</v>
      </c>
      <c r="C20" s="3" t="s">
        <v>187</v>
      </c>
    </row>
    <row r="21" spans="1:3" x14ac:dyDescent="0.2">
      <c r="A21" s="3">
        <v>20</v>
      </c>
      <c r="B21" s="3" t="s">
        <v>18</v>
      </c>
      <c r="C21" s="3" t="s">
        <v>186</v>
      </c>
    </row>
    <row r="22" spans="1:3" x14ac:dyDescent="0.2">
      <c r="A22" s="3">
        <v>21</v>
      </c>
      <c r="B22" s="3" t="s">
        <v>19</v>
      </c>
      <c r="C22" s="3" t="s">
        <v>188</v>
      </c>
    </row>
    <row r="23" spans="1:3" x14ac:dyDescent="0.2">
      <c r="A23" s="3">
        <v>22</v>
      </c>
      <c r="B23" s="3" t="s">
        <v>20</v>
      </c>
      <c r="C23" s="3" t="s">
        <v>196</v>
      </c>
    </row>
    <row r="24" spans="1:3" x14ac:dyDescent="0.2">
      <c r="A24" s="3">
        <v>23</v>
      </c>
      <c r="B24" s="3" t="s">
        <v>21</v>
      </c>
      <c r="C24" s="3" t="s">
        <v>186</v>
      </c>
    </row>
    <row r="25" spans="1:3" x14ac:dyDescent="0.2">
      <c r="A25" s="3">
        <v>24</v>
      </c>
      <c r="B25" s="3" t="s">
        <v>144</v>
      </c>
      <c r="C25" s="3" t="s">
        <v>187</v>
      </c>
    </row>
    <row r="26" spans="1:3" x14ac:dyDescent="0.2">
      <c r="A26" s="3">
        <v>25</v>
      </c>
      <c r="B26" s="3" t="s">
        <v>22</v>
      </c>
      <c r="C26" s="3" t="s">
        <v>185</v>
      </c>
    </row>
    <row r="27" spans="1:3" x14ac:dyDescent="0.2">
      <c r="A27" s="3">
        <v>26</v>
      </c>
      <c r="B27" s="3" t="s">
        <v>23</v>
      </c>
      <c r="C27" s="3" t="s">
        <v>186</v>
      </c>
    </row>
    <row r="28" spans="1:3" x14ac:dyDescent="0.2">
      <c r="A28" s="3">
        <v>27</v>
      </c>
      <c r="B28" s="3" t="s">
        <v>24</v>
      </c>
      <c r="C28" s="3" t="s">
        <v>318</v>
      </c>
    </row>
    <row r="29" spans="1:3" x14ac:dyDescent="0.2">
      <c r="A29" s="3">
        <v>28</v>
      </c>
      <c r="B29" s="3" t="s">
        <v>25</v>
      </c>
      <c r="C29" s="3" t="s">
        <v>319</v>
      </c>
    </row>
    <row r="30" spans="1:3" x14ac:dyDescent="0.2">
      <c r="A30" s="3">
        <v>29</v>
      </c>
      <c r="B30" s="3" t="s">
        <v>26</v>
      </c>
      <c r="C30" s="3" t="s">
        <v>320</v>
      </c>
    </row>
    <row r="31" spans="1:3" x14ac:dyDescent="0.2">
      <c r="A31" s="3">
        <v>30</v>
      </c>
      <c r="B31" s="3" t="s">
        <v>27</v>
      </c>
      <c r="C31" s="3" t="s">
        <v>321</v>
      </c>
    </row>
    <row r="32" spans="1:3" x14ac:dyDescent="0.2">
      <c r="A32" s="3">
        <v>31</v>
      </c>
      <c r="B32" s="3" t="s">
        <v>28</v>
      </c>
      <c r="C32" s="3" t="s">
        <v>322</v>
      </c>
    </row>
    <row r="33" spans="1:3" x14ac:dyDescent="0.2">
      <c r="A33" s="3">
        <v>32</v>
      </c>
      <c r="B33" s="3" t="s">
        <v>29</v>
      </c>
      <c r="C33" s="3" t="s">
        <v>318</v>
      </c>
    </row>
    <row r="34" spans="1:3" x14ac:dyDescent="0.2">
      <c r="A34" s="3">
        <v>33</v>
      </c>
      <c r="B34" s="3" t="s">
        <v>30</v>
      </c>
      <c r="C34" s="3" t="s">
        <v>319</v>
      </c>
    </row>
    <row r="35" spans="1:3" x14ac:dyDescent="0.2">
      <c r="A35" s="3">
        <v>34</v>
      </c>
      <c r="B35" s="3" t="s">
        <v>31</v>
      </c>
      <c r="C35" s="3" t="s">
        <v>320</v>
      </c>
    </row>
    <row r="36" spans="1:3" x14ac:dyDescent="0.2">
      <c r="A36" s="3">
        <v>35</v>
      </c>
      <c r="B36" s="3" t="s">
        <v>32</v>
      </c>
      <c r="C36" s="3" t="s">
        <v>320</v>
      </c>
    </row>
    <row r="37" spans="1:3" x14ac:dyDescent="0.2">
      <c r="A37" s="3">
        <v>36</v>
      </c>
      <c r="B37" s="3" t="s">
        <v>33</v>
      </c>
      <c r="C37" s="3" t="s">
        <v>321</v>
      </c>
    </row>
    <row r="38" spans="1:3" x14ac:dyDescent="0.2">
      <c r="A38" s="3">
        <v>37</v>
      </c>
      <c r="B38" s="3" t="s">
        <v>34</v>
      </c>
      <c r="C38" s="3" t="s">
        <v>322</v>
      </c>
    </row>
    <row r="39" spans="1:3" x14ac:dyDescent="0.2">
      <c r="A39" s="3">
        <v>38</v>
      </c>
      <c r="B39" s="3" t="s">
        <v>35</v>
      </c>
      <c r="C39" s="3" t="s">
        <v>319</v>
      </c>
    </row>
    <row r="40" spans="1:3" x14ac:dyDescent="0.2">
      <c r="A40" s="3">
        <v>39</v>
      </c>
      <c r="B40" s="3" t="s">
        <v>36</v>
      </c>
      <c r="C40" s="3" t="s">
        <v>321</v>
      </c>
    </row>
    <row r="41" spans="1:3" x14ac:dyDescent="0.2">
      <c r="A41" s="3">
        <v>40</v>
      </c>
      <c r="B41" s="3" t="s">
        <v>37</v>
      </c>
      <c r="C41" s="3" t="s">
        <v>322</v>
      </c>
    </row>
    <row r="42" spans="1:3" x14ac:dyDescent="0.2">
      <c r="A42" s="3">
        <v>41</v>
      </c>
      <c r="B42" s="3" t="s">
        <v>38</v>
      </c>
      <c r="C42" s="3" t="s">
        <v>322</v>
      </c>
    </row>
    <row r="43" spans="1:3" x14ac:dyDescent="0.2">
      <c r="A43" s="3">
        <v>42</v>
      </c>
      <c r="B43" s="3" t="s">
        <v>39</v>
      </c>
      <c r="C43" s="3" t="s">
        <v>191</v>
      </c>
    </row>
    <row r="44" spans="1:3" x14ac:dyDescent="0.2">
      <c r="A44" s="3">
        <v>43</v>
      </c>
      <c r="B44" s="3" t="s">
        <v>198</v>
      </c>
      <c r="C44" s="3" t="s">
        <v>318</v>
      </c>
    </row>
    <row r="45" spans="1:3" x14ac:dyDescent="0.2">
      <c r="A45" s="3">
        <v>44</v>
      </c>
      <c r="B45" s="3" t="s">
        <v>199</v>
      </c>
      <c r="C45" s="3" t="s">
        <v>318</v>
      </c>
    </row>
    <row r="46" spans="1:3" x14ac:dyDescent="0.2">
      <c r="A46" s="3">
        <v>45</v>
      </c>
      <c r="B46" s="3" t="s">
        <v>200</v>
      </c>
      <c r="C46" s="3" t="s">
        <v>319</v>
      </c>
    </row>
    <row r="47" spans="1:3" x14ac:dyDescent="0.2">
      <c r="A47" s="3">
        <v>46</v>
      </c>
      <c r="B47" s="3" t="s">
        <v>201</v>
      </c>
      <c r="C47" s="3" t="s">
        <v>319</v>
      </c>
    </row>
    <row r="48" spans="1:3" x14ac:dyDescent="0.2">
      <c r="A48" s="3">
        <v>47</v>
      </c>
      <c r="B48" s="3" t="s">
        <v>202</v>
      </c>
      <c r="C48" s="3" t="s">
        <v>319</v>
      </c>
    </row>
    <row r="49" spans="1:3" x14ac:dyDescent="0.2">
      <c r="A49" s="3">
        <v>48</v>
      </c>
      <c r="B49" s="3" t="s">
        <v>203</v>
      </c>
      <c r="C49" s="3" t="s">
        <v>320</v>
      </c>
    </row>
    <row r="50" spans="1:3" x14ac:dyDescent="0.2">
      <c r="A50" s="3">
        <v>49</v>
      </c>
      <c r="B50" s="3" t="s">
        <v>204</v>
      </c>
      <c r="C50" s="3" t="s">
        <v>320</v>
      </c>
    </row>
    <row r="51" spans="1:3" x14ac:dyDescent="0.2">
      <c r="A51" s="3">
        <v>50</v>
      </c>
      <c r="B51" s="3" t="s">
        <v>205</v>
      </c>
      <c r="C51" s="3" t="s">
        <v>321</v>
      </c>
    </row>
    <row r="52" spans="1:3" x14ac:dyDescent="0.2">
      <c r="A52" s="3">
        <v>51</v>
      </c>
      <c r="B52" s="3" t="s">
        <v>206</v>
      </c>
      <c r="C52" s="3" t="s">
        <v>321</v>
      </c>
    </row>
    <row r="53" spans="1:3" x14ac:dyDescent="0.2">
      <c r="A53" s="3">
        <v>52</v>
      </c>
      <c r="B53" s="3" t="s">
        <v>207</v>
      </c>
      <c r="C53" s="3" t="s">
        <v>321</v>
      </c>
    </row>
    <row r="54" spans="1:3" x14ac:dyDescent="0.2">
      <c r="A54" s="3">
        <v>53</v>
      </c>
      <c r="B54" s="3" t="s">
        <v>208</v>
      </c>
      <c r="C54" s="3" t="s">
        <v>322</v>
      </c>
    </row>
    <row r="55" spans="1:3" x14ac:dyDescent="0.2">
      <c r="A55" s="3">
        <v>54</v>
      </c>
      <c r="B55" s="3" t="s">
        <v>209</v>
      </c>
      <c r="C55" s="3" t="s">
        <v>322</v>
      </c>
    </row>
    <row r="56" spans="1:3" x14ac:dyDescent="0.2">
      <c r="A56" s="3">
        <v>55</v>
      </c>
      <c r="B56" s="3" t="s">
        <v>210</v>
      </c>
      <c r="C56" s="3" t="s">
        <v>322</v>
      </c>
    </row>
    <row r="57" spans="1:3" x14ac:dyDescent="0.2">
      <c r="A57" s="3">
        <v>56</v>
      </c>
      <c r="B57" s="3" t="s">
        <v>211</v>
      </c>
      <c r="C57" s="3" t="s">
        <v>324</v>
      </c>
    </row>
    <row r="58" spans="1:3" x14ac:dyDescent="0.2">
      <c r="A58" s="3">
        <v>57</v>
      </c>
      <c r="B58" s="3" t="s">
        <v>212</v>
      </c>
      <c r="C58" s="3" t="s">
        <v>324</v>
      </c>
    </row>
    <row r="59" spans="1:3" x14ac:dyDescent="0.2">
      <c r="A59" s="3">
        <v>58</v>
      </c>
      <c r="B59" s="3" t="s">
        <v>213</v>
      </c>
      <c r="C59" s="3" t="s">
        <v>325</v>
      </c>
    </row>
    <row r="60" spans="1:3" x14ac:dyDescent="0.2">
      <c r="A60" s="3">
        <v>59</v>
      </c>
      <c r="B60" s="3" t="s">
        <v>214</v>
      </c>
      <c r="C60" s="3" t="s">
        <v>325</v>
      </c>
    </row>
    <row r="61" spans="1:3" x14ac:dyDescent="0.2">
      <c r="A61" s="3">
        <v>60</v>
      </c>
      <c r="B61" s="3" t="s">
        <v>215</v>
      </c>
      <c r="C61" s="3" t="s">
        <v>191</v>
      </c>
    </row>
    <row r="62" spans="1:3" x14ac:dyDescent="0.2">
      <c r="A62" s="3">
        <v>61</v>
      </c>
      <c r="B62" s="3" t="s">
        <v>216</v>
      </c>
      <c r="C62" s="3" t="s">
        <v>191</v>
      </c>
    </row>
    <row r="63" spans="1:3" x14ac:dyDescent="0.2">
      <c r="A63" s="3">
        <v>62</v>
      </c>
      <c r="B63" s="3" t="s">
        <v>217</v>
      </c>
      <c r="C63" s="3" t="s">
        <v>327</v>
      </c>
    </row>
    <row r="64" spans="1:3" x14ac:dyDescent="0.2">
      <c r="A64" s="3">
        <v>63</v>
      </c>
      <c r="B64" s="3" t="s">
        <v>218</v>
      </c>
      <c r="C64" s="3" t="s">
        <v>328</v>
      </c>
    </row>
    <row r="65" spans="1:3" x14ac:dyDescent="0.2">
      <c r="A65" s="3">
        <v>64</v>
      </c>
      <c r="B65" s="3" t="s">
        <v>219</v>
      </c>
      <c r="C65" s="3" t="s">
        <v>328</v>
      </c>
    </row>
    <row r="66" spans="1:3" x14ac:dyDescent="0.2">
      <c r="A66" s="3">
        <v>65</v>
      </c>
      <c r="B66" s="3" t="s">
        <v>220</v>
      </c>
      <c r="C66" s="3" t="s">
        <v>328</v>
      </c>
    </row>
    <row r="67" spans="1:3" x14ac:dyDescent="0.2">
      <c r="A67" s="3">
        <v>66</v>
      </c>
      <c r="B67" s="3" t="s">
        <v>57</v>
      </c>
      <c r="C67" s="3" t="s">
        <v>177</v>
      </c>
    </row>
    <row r="68" spans="1:3" x14ac:dyDescent="0.2">
      <c r="A68" s="3">
        <v>67</v>
      </c>
      <c r="B68" s="3" t="s">
        <v>58</v>
      </c>
      <c r="C68" s="3" t="s">
        <v>178</v>
      </c>
    </row>
    <row r="69" spans="1:3" x14ac:dyDescent="0.2">
      <c r="A69" s="3">
        <v>68</v>
      </c>
      <c r="B69" s="3" t="s">
        <v>59</v>
      </c>
      <c r="C69" s="3" t="s">
        <v>179</v>
      </c>
    </row>
    <row r="70" spans="1:3" x14ac:dyDescent="0.2">
      <c r="A70" s="3">
        <v>69</v>
      </c>
      <c r="B70" s="3" t="s">
        <v>60</v>
      </c>
      <c r="C70" s="3" t="s">
        <v>180</v>
      </c>
    </row>
    <row r="71" spans="1:3" x14ac:dyDescent="0.2">
      <c r="A71" s="3">
        <v>70</v>
      </c>
      <c r="B71" s="3" t="s">
        <v>61</v>
      </c>
      <c r="C71" s="3" t="s">
        <v>181</v>
      </c>
    </row>
    <row r="72" spans="1:3" x14ac:dyDescent="0.2">
      <c r="A72" s="3">
        <v>71</v>
      </c>
      <c r="B72" s="3" t="s">
        <v>62</v>
      </c>
      <c r="C72" s="3" t="s">
        <v>182</v>
      </c>
    </row>
    <row r="73" spans="1:3" x14ac:dyDescent="0.2">
      <c r="A73" s="3">
        <v>72</v>
      </c>
      <c r="B73" s="3" t="s">
        <v>63</v>
      </c>
      <c r="C73" s="3" t="s">
        <v>183</v>
      </c>
    </row>
    <row r="74" spans="1:3" x14ac:dyDescent="0.2">
      <c r="A74" s="3">
        <v>73</v>
      </c>
      <c r="B74" s="3" t="s">
        <v>64</v>
      </c>
      <c r="C74" s="3" t="s">
        <v>184</v>
      </c>
    </row>
    <row r="75" spans="1:3" x14ac:dyDescent="0.2">
      <c r="A75" s="3">
        <v>74</v>
      </c>
      <c r="B75" s="3" t="s">
        <v>221</v>
      </c>
      <c r="C75" s="3" t="s">
        <v>177</v>
      </c>
    </row>
    <row r="76" spans="1:3" x14ac:dyDescent="0.2">
      <c r="A76" s="3">
        <v>75</v>
      </c>
      <c r="B76" s="3" t="s">
        <v>222</v>
      </c>
      <c r="C76" s="3" t="s">
        <v>178</v>
      </c>
    </row>
    <row r="77" spans="1:3" x14ac:dyDescent="0.2">
      <c r="A77" s="3">
        <v>76</v>
      </c>
      <c r="B77" s="3" t="s">
        <v>223</v>
      </c>
      <c r="C77" s="3" t="s">
        <v>179</v>
      </c>
    </row>
    <row r="78" spans="1:3" x14ac:dyDescent="0.2">
      <c r="A78" s="3">
        <v>77</v>
      </c>
      <c r="B78" s="3" t="s">
        <v>224</v>
      </c>
      <c r="C78" s="3" t="s">
        <v>180</v>
      </c>
    </row>
    <row r="79" spans="1:3" x14ac:dyDescent="0.2">
      <c r="A79" s="3">
        <v>78</v>
      </c>
      <c r="B79" s="3" t="s">
        <v>225</v>
      </c>
      <c r="C79" s="3" t="s">
        <v>181</v>
      </c>
    </row>
    <row r="80" spans="1:3" x14ac:dyDescent="0.2">
      <c r="A80" s="3">
        <v>79</v>
      </c>
      <c r="B80" s="3" t="s">
        <v>226</v>
      </c>
      <c r="C80" s="3" t="s">
        <v>182</v>
      </c>
    </row>
    <row r="81" spans="1:3" x14ac:dyDescent="0.2">
      <c r="A81" s="3">
        <v>80</v>
      </c>
      <c r="B81" s="3" t="s">
        <v>227</v>
      </c>
      <c r="C81" s="3" t="s">
        <v>183</v>
      </c>
    </row>
    <row r="82" spans="1:3" x14ac:dyDescent="0.2">
      <c r="A82" s="3">
        <v>81</v>
      </c>
      <c r="B82" s="3" t="s">
        <v>228</v>
      </c>
      <c r="C82" s="3" t="s">
        <v>184</v>
      </c>
    </row>
    <row r="83" spans="1:3" x14ac:dyDescent="0.2">
      <c r="A83" s="3">
        <v>82</v>
      </c>
      <c r="B83" s="3" t="s">
        <v>69</v>
      </c>
      <c r="C83" s="3" t="s">
        <v>185</v>
      </c>
    </row>
    <row r="84" spans="1:3" x14ac:dyDescent="0.2">
      <c r="A84" s="3">
        <v>83</v>
      </c>
      <c r="B84" s="3" t="s">
        <v>70</v>
      </c>
      <c r="C84" s="3" t="s">
        <v>186</v>
      </c>
    </row>
    <row r="85" spans="1:3" x14ac:dyDescent="0.2">
      <c r="A85" s="3">
        <v>84</v>
      </c>
      <c r="B85" s="3" t="s">
        <v>71</v>
      </c>
      <c r="C85" s="3" t="s">
        <v>187</v>
      </c>
    </row>
    <row r="86" spans="1:3" x14ac:dyDescent="0.2">
      <c r="A86" s="3">
        <v>85</v>
      </c>
      <c r="B86" s="3" t="s">
        <v>72</v>
      </c>
      <c r="C86" s="3" t="s">
        <v>188</v>
      </c>
    </row>
    <row r="87" spans="1:3" x14ac:dyDescent="0.2">
      <c r="A87" s="3">
        <v>86</v>
      </c>
      <c r="B87" s="3" t="s">
        <v>73</v>
      </c>
      <c r="C87" s="3" t="s">
        <v>185</v>
      </c>
    </row>
    <row r="88" spans="1:3" x14ac:dyDescent="0.2">
      <c r="A88" s="3">
        <v>87</v>
      </c>
      <c r="B88" s="3" t="s">
        <v>74</v>
      </c>
      <c r="C88" s="3" t="s">
        <v>186</v>
      </c>
    </row>
    <row r="89" spans="1:3" x14ac:dyDescent="0.2">
      <c r="A89" s="3">
        <v>88</v>
      </c>
      <c r="B89" s="3" t="s">
        <v>75</v>
      </c>
      <c r="C89" s="3" t="s">
        <v>187</v>
      </c>
    </row>
    <row r="90" spans="1:3" x14ac:dyDescent="0.2">
      <c r="A90" s="3">
        <v>89</v>
      </c>
      <c r="B90" s="3" t="s">
        <v>76</v>
      </c>
      <c r="C90" s="3" t="s">
        <v>188</v>
      </c>
    </row>
    <row r="91" spans="1:3" x14ac:dyDescent="0.2">
      <c r="A91" s="3">
        <v>90</v>
      </c>
      <c r="B91" s="3" t="s">
        <v>229</v>
      </c>
      <c r="C91" s="3" t="s">
        <v>185</v>
      </c>
    </row>
    <row r="92" spans="1:3" x14ac:dyDescent="0.2">
      <c r="A92" s="3">
        <v>91</v>
      </c>
      <c r="B92" s="3" t="s">
        <v>230</v>
      </c>
      <c r="C92" s="3" t="s">
        <v>186</v>
      </c>
    </row>
    <row r="93" spans="1:3" x14ac:dyDescent="0.2">
      <c r="A93" s="3">
        <v>92</v>
      </c>
      <c r="B93" s="3" t="s">
        <v>231</v>
      </c>
      <c r="C93" s="3" t="s">
        <v>187</v>
      </c>
    </row>
    <row r="94" spans="1:3" x14ac:dyDescent="0.2">
      <c r="A94" s="3">
        <v>93</v>
      </c>
      <c r="B94" s="3" t="s">
        <v>232</v>
      </c>
      <c r="C94" s="3" t="s">
        <v>188</v>
      </c>
    </row>
    <row r="95" spans="1:3" x14ac:dyDescent="0.2">
      <c r="A95" s="3">
        <v>94</v>
      </c>
      <c r="B95" s="3" t="s">
        <v>233</v>
      </c>
      <c r="C95" s="3" t="s">
        <v>185</v>
      </c>
    </row>
    <row r="96" spans="1:3" x14ac:dyDescent="0.2">
      <c r="A96" s="3">
        <v>95</v>
      </c>
      <c r="B96" s="3" t="s">
        <v>234</v>
      </c>
      <c r="C96" s="3" t="s">
        <v>186</v>
      </c>
    </row>
    <row r="97" spans="1:3" x14ac:dyDescent="0.2">
      <c r="A97" s="3">
        <v>96</v>
      </c>
      <c r="B97" s="3" t="s">
        <v>235</v>
      </c>
      <c r="C97" s="3" t="s">
        <v>187</v>
      </c>
    </row>
    <row r="98" spans="1:3" x14ac:dyDescent="0.2">
      <c r="A98" s="3">
        <v>97</v>
      </c>
      <c r="B98" s="3" t="s">
        <v>236</v>
      </c>
      <c r="C98" s="3" t="s">
        <v>188</v>
      </c>
    </row>
    <row r="99" spans="1:3" x14ac:dyDescent="0.2">
      <c r="A99" s="3">
        <v>98</v>
      </c>
      <c r="B99" s="3" t="s">
        <v>81</v>
      </c>
      <c r="C99" s="3" t="s">
        <v>177</v>
      </c>
    </row>
    <row r="100" spans="1:3" x14ac:dyDescent="0.2">
      <c r="A100" s="3">
        <v>99</v>
      </c>
      <c r="B100" s="3" t="s">
        <v>82</v>
      </c>
      <c r="C100" s="3" t="s">
        <v>181</v>
      </c>
    </row>
    <row r="101" spans="1:3" x14ac:dyDescent="0.2">
      <c r="A101" s="3">
        <v>100</v>
      </c>
      <c r="B101" s="3" t="s">
        <v>83</v>
      </c>
      <c r="C101" s="3" t="s">
        <v>179</v>
      </c>
    </row>
    <row r="102" spans="1:3" x14ac:dyDescent="0.2">
      <c r="A102" s="3">
        <v>101</v>
      </c>
      <c r="B102" s="3" t="s">
        <v>84</v>
      </c>
      <c r="C102" s="3" t="s">
        <v>183</v>
      </c>
    </row>
    <row r="103" spans="1:3" x14ac:dyDescent="0.2">
      <c r="A103" s="3">
        <v>102</v>
      </c>
      <c r="B103" s="3" t="s">
        <v>85</v>
      </c>
      <c r="C103" s="3" t="s">
        <v>178</v>
      </c>
    </row>
    <row r="104" spans="1:3" x14ac:dyDescent="0.2">
      <c r="A104" s="3">
        <v>103</v>
      </c>
      <c r="B104" s="3" t="s">
        <v>86</v>
      </c>
      <c r="C104" s="3" t="s">
        <v>182</v>
      </c>
    </row>
    <row r="105" spans="1:3" x14ac:dyDescent="0.2">
      <c r="A105" s="3">
        <v>104</v>
      </c>
      <c r="B105" s="3" t="s">
        <v>87</v>
      </c>
      <c r="C105" s="3" t="s">
        <v>189</v>
      </c>
    </row>
    <row r="106" spans="1:3" x14ac:dyDescent="0.2">
      <c r="A106" s="3">
        <v>105</v>
      </c>
      <c r="B106" s="3" t="s">
        <v>88</v>
      </c>
      <c r="C106" s="3" t="s">
        <v>190</v>
      </c>
    </row>
    <row r="107" spans="1:3" x14ac:dyDescent="0.2">
      <c r="A107" s="3">
        <v>106</v>
      </c>
      <c r="B107" s="3" t="s">
        <v>158</v>
      </c>
      <c r="C107" s="3" t="s">
        <v>180</v>
      </c>
    </row>
    <row r="108" spans="1:3" x14ac:dyDescent="0.2">
      <c r="A108" s="3">
        <v>107</v>
      </c>
      <c r="B108" s="3" t="s">
        <v>159</v>
      </c>
      <c r="C108" s="3" t="s">
        <v>184</v>
      </c>
    </row>
    <row r="109" spans="1:3" x14ac:dyDescent="0.2">
      <c r="A109" s="3">
        <v>108</v>
      </c>
      <c r="B109" s="3" t="s">
        <v>237</v>
      </c>
      <c r="C109" s="3" t="s">
        <v>178</v>
      </c>
    </row>
    <row r="110" spans="1:3" x14ac:dyDescent="0.2">
      <c r="A110" s="3">
        <v>109</v>
      </c>
      <c r="B110" s="3" t="s">
        <v>238</v>
      </c>
      <c r="C110" s="3" t="s">
        <v>191</v>
      </c>
    </row>
    <row r="111" spans="1:3" x14ac:dyDescent="0.2">
      <c r="A111" s="3">
        <v>110</v>
      </c>
      <c r="B111" s="3" t="s">
        <v>239</v>
      </c>
      <c r="C111" s="3" t="s">
        <v>182</v>
      </c>
    </row>
    <row r="112" spans="1:3" x14ac:dyDescent="0.2">
      <c r="A112" s="3">
        <v>111</v>
      </c>
      <c r="B112" s="3" t="s">
        <v>240</v>
      </c>
      <c r="C112" s="3" t="s">
        <v>192</v>
      </c>
    </row>
    <row r="113" spans="1:3" x14ac:dyDescent="0.2">
      <c r="A113" s="3">
        <v>112</v>
      </c>
      <c r="B113" s="3" t="s">
        <v>241</v>
      </c>
      <c r="C113" s="3" t="s">
        <v>189</v>
      </c>
    </row>
    <row r="114" spans="1:3" x14ac:dyDescent="0.2">
      <c r="A114" s="3">
        <v>113</v>
      </c>
      <c r="B114" s="3" t="s">
        <v>242</v>
      </c>
      <c r="C114" s="3" t="s">
        <v>193</v>
      </c>
    </row>
    <row r="115" spans="1:3" x14ac:dyDescent="0.2">
      <c r="A115" s="3">
        <v>114</v>
      </c>
      <c r="B115" s="3" t="s">
        <v>243</v>
      </c>
      <c r="C115" s="3" t="s">
        <v>190</v>
      </c>
    </row>
    <row r="116" spans="1:3" x14ac:dyDescent="0.2">
      <c r="A116" s="3">
        <v>115</v>
      </c>
      <c r="B116" s="3" t="s">
        <v>244</v>
      </c>
      <c r="C116" s="3" t="s">
        <v>193</v>
      </c>
    </row>
    <row r="117" spans="1:3" x14ac:dyDescent="0.2">
      <c r="A117" s="3">
        <v>116</v>
      </c>
      <c r="B117" s="3" t="s">
        <v>245</v>
      </c>
      <c r="C117" s="3" t="s">
        <v>177</v>
      </c>
    </row>
    <row r="118" spans="1:3" x14ac:dyDescent="0.2">
      <c r="A118" s="3">
        <v>117</v>
      </c>
      <c r="B118" s="3" t="s">
        <v>246</v>
      </c>
      <c r="C118" s="3" t="s">
        <v>191</v>
      </c>
    </row>
    <row r="119" spans="1:3" x14ac:dyDescent="0.2">
      <c r="A119" s="3">
        <v>118</v>
      </c>
      <c r="B119" s="3" t="s">
        <v>247</v>
      </c>
      <c r="C119" s="3" t="s">
        <v>181</v>
      </c>
    </row>
    <row r="120" spans="1:3" x14ac:dyDescent="0.2">
      <c r="A120" s="3">
        <v>119</v>
      </c>
      <c r="B120" s="3" t="s">
        <v>248</v>
      </c>
      <c r="C120" s="3" t="s">
        <v>192</v>
      </c>
    </row>
    <row r="121" spans="1:3" x14ac:dyDescent="0.2">
      <c r="A121" s="3">
        <v>120</v>
      </c>
      <c r="B121" s="3" t="s">
        <v>249</v>
      </c>
      <c r="C121" s="3" t="s">
        <v>179</v>
      </c>
    </row>
    <row r="122" spans="1:3" x14ac:dyDescent="0.2">
      <c r="A122" s="3">
        <v>121</v>
      </c>
      <c r="B122" s="3" t="s">
        <v>250</v>
      </c>
      <c r="C122" s="3" t="s">
        <v>193</v>
      </c>
    </row>
    <row r="123" spans="1:3" x14ac:dyDescent="0.2">
      <c r="A123" s="3">
        <v>122</v>
      </c>
      <c r="B123" s="3" t="s">
        <v>251</v>
      </c>
      <c r="C123" s="3" t="s">
        <v>183</v>
      </c>
    </row>
    <row r="124" spans="1:3" x14ac:dyDescent="0.2">
      <c r="A124" s="3">
        <v>123</v>
      </c>
      <c r="B124" s="3" t="s">
        <v>252</v>
      </c>
      <c r="C124" s="3" t="s">
        <v>193</v>
      </c>
    </row>
    <row r="125" spans="1:3" x14ac:dyDescent="0.2">
      <c r="A125" s="3">
        <v>124</v>
      </c>
      <c r="B125" s="3" t="s">
        <v>253</v>
      </c>
      <c r="C125" s="3" t="s">
        <v>191</v>
      </c>
    </row>
    <row r="126" spans="1:3" x14ac:dyDescent="0.2">
      <c r="A126" s="3">
        <v>125</v>
      </c>
      <c r="B126" s="3" t="s">
        <v>254</v>
      </c>
      <c r="C126" s="3" t="s">
        <v>191</v>
      </c>
    </row>
    <row r="127" spans="1:3" x14ac:dyDescent="0.2">
      <c r="A127" s="3">
        <v>126</v>
      </c>
      <c r="B127" s="3" t="s">
        <v>255</v>
      </c>
      <c r="C127" s="3" t="s">
        <v>191</v>
      </c>
    </row>
    <row r="128" spans="1:3" x14ac:dyDescent="0.2">
      <c r="A128" s="3">
        <v>127</v>
      </c>
      <c r="B128" s="3" t="s">
        <v>256</v>
      </c>
      <c r="C128" s="3" t="s">
        <v>192</v>
      </c>
    </row>
    <row r="129" spans="1:3" x14ac:dyDescent="0.2">
      <c r="A129" s="3">
        <v>128</v>
      </c>
      <c r="B129" s="3" t="s">
        <v>257</v>
      </c>
      <c r="C129" s="3" t="s">
        <v>193</v>
      </c>
    </row>
    <row r="130" spans="1:3" x14ac:dyDescent="0.2">
      <c r="A130" s="3">
        <v>129</v>
      </c>
      <c r="B130" s="3" t="s">
        <v>258</v>
      </c>
      <c r="C130" s="3" t="s">
        <v>193</v>
      </c>
    </row>
    <row r="131" spans="1:3" x14ac:dyDescent="0.2">
      <c r="A131" s="3">
        <v>130</v>
      </c>
      <c r="B131" s="3" t="s">
        <v>259</v>
      </c>
      <c r="C131" s="3" t="s">
        <v>193</v>
      </c>
    </row>
    <row r="132" spans="1:3" x14ac:dyDescent="0.2">
      <c r="A132" s="3">
        <v>131</v>
      </c>
      <c r="B132" s="3" t="s">
        <v>260</v>
      </c>
      <c r="C132" s="3" t="s">
        <v>193</v>
      </c>
    </row>
    <row r="133" spans="1:3" x14ac:dyDescent="0.2">
      <c r="A133" s="3">
        <v>132</v>
      </c>
      <c r="B133" s="3" t="s">
        <v>261</v>
      </c>
      <c r="C133" s="3" t="s">
        <v>194</v>
      </c>
    </row>
    <row r="134" spans="1:3" x14ac:dyDescent="0.2">
      <c r="A134" s="3">
        <v>133</v>
      </c>
      <c r="B134" s="3" t="s">
        <v>262</v>
      </c>
      <c r="C134" s="3" t="s">
        <v>194</v>
      </c>
    </row>
    <row r="135" spans="1:3" x14ac:dyDescent="0.2">
      <c r="A135" s="3">
        <v>134</v>
      </c>
      <c r="B135" s="3" t="s">
        <v>263</v>
      </c>
      <c r="C135" s="3" t="s">
        <v>194</v>
      </c>
    </row>
    <row r="136" spans="1:3" x14ac:dyDescent="0.2">
      <c r="A136" s="3">
        <v>135</v>
      </c>
      <c r="B136" s="3" t="s">
        <v>264</v>
      </c>
      <c r="C136" s="3" t="s">
        <v>194</v>
      </c>
    </row>
    <row r="137" spans="1:3" x14ac:dyDescent="0.2">
      <c r="A137" s="3">
        <v>136</v>
      </c>
      <c r="B137" s="3" t="s">
        <v>265</v>
      </c>
      <c r="C137" s="3" t="s">
        <v>195</v>
      </c>
    </row>
    <row r="138" spans="1:3" x14ac:dyDescent="0.2">
      <c r="A138" s="3">
        <v>137</v>
      </c>
      <c r="B138" s="3" t="s">
        <v>266</v>
      </c>
      <c r="C138" s="3" t="s">
        <v>195</v>
      </c>
    </row>
    <row r="139" spans="1:3" x14ac:dyDescent="0.2">
      <c r="A139" s="3">
        <v>138</v>
      </c>
      <c r="B139" s="3" t="s">
        <v>267</v>
      </c>
      <c r="C139" s="3" t="s">
        <v>195</v>
      </c>
    </row>
    <row r="140" spans="1:3" x14ac:dyDescent="0.2">
      <c r="A140" s="3">
        <v>139</v>
      </c>
      <c r="B140" s="3" t="s">
        <v>268</v>
      </c>
      <c r="C140" s="3" t="s">
        <v>195</v>
      </c>
    </row>
    <row r="141" spans="1:3" x14ac:dyDescent="0.2">
      <c r="A141" s="3">
        <v>140</v>
      </c>
      <c r="B141" s="3" t="s">
        <v>269</v>
      </c>
      <c r="C141" s="3" t="s">
        <v>195</v>
      </c>
    </row>
    <row r="142" spans="1:3" x14ac:dyDescent="0.2">
      <c r="A142" s="3">
        <v>141</v>
      </c>
      <c r="B142" s="3" t="s">
        <v>270</v>
      </c>
      <c r="C142" s="3" t="s">
        <v>195</v>
      </c>
    </row>
    <row r="143" spans="1:3" x14ac:dyDescent="0.2">
      <c r="A143" s="3">
        <v>142</v>
      </c>
      <c r="B143" s="3" t="s">
        <v>271</v>
      </c>
      <c r="C143" s="3" t="s">
        <v>195</v>
      </c>
    </row>
    <row r="144" spans="1:3" x14ac:dyDescent="0.2">
      <c r="A144" s="3">
        <v>143</v>
      </c>
      <c r="B144" s="3" t="s">
        <v>272</v>
      </c>
      <c r="C144" s="3" t="s">
        <v>195</v>
      </c>
    </row>
    <row r="145" spans="1:3" x14ac:dyDescent="0.2">
      <c r="A145" s="3">
        <v>144</v>
      </c>
      <c r="B145" s="3" t="s">
        <v>96</v>
      </c>
      <c r="C145" s="3" t="s">
        <v>185</v>
      </c>
    </row>
    <row r="146" spans="1:3" x14ac:dyDescent="0.2">
      <c r="A146" s="3">
        <v>145</v>
      </c>
      <c r="B146" s="3" t="s">
        <v>97</v>
      </c>
      <c r="C146" s="3" t="s">
        <v>185</v>
      </c>
    </row>
    <row r="147" spans="1:3" x14ac:dyDescent="0.2">
      <c r="A147" s="3">
        <v>146</v>
      </c>
      <c r="B147" s="3" t="s">
        <v>98</v>
      </c>
      <c r="C147" s="3" t="s">
        <v>187</v>
      </c>
    </row>
    <row r="148" spans="1:3" x14ac:dyDescent="0.2">
      <c r="A148" s="3">
        <v>147</v>
      </c>
      <c r="B148" s="3" t="s">
        <v>99</v>
      </c>
      <c r="C148" s="3" t="s">
        <v>187</v>
      </c>
    </row>
    <row r="149" spans="1:3" x14ac:dyDescent="0.2">
      <c r="A149" s="3">
        <v>148</v>
      </c>
      <c r="B149" s="3" t="s">
        <v>100</v>
      </c>
      <c r="C149" s="3" t="s">
        <v>186</v>
      </c>
    </row>
    <row r="150" spans="1:3" x14ac:dyDescent="0.2">
      <c r="A150" s="3">
        <v>149</v>
      </c>
      <c r="B150" s="3" t="s">
        <v>101</v>
      </c>
      <c r="C150" s="3" t="s">
        <v>186</v>
      </c>
    </row>
    <row r="151" spans="1:3" x14ac:dyDescent="0.2">
      <c r="A151" s="3">
        <v>150</v>
      </c>
      <c r="B151" s="3" t="s">
        <v>102</v>
      </c>
      <c r="C151" s="3" t="s">
        <v>196</v>
      </c>
    </row>
    <row r="152" spans="1:3" x14ac:dyDescent="0.2">
      <c r="A152" s="3">
        <v>151</v>
      </c>
      <c r="B152" s="3" t="s">
        <v>103</v>
      </c>
      <c r="C152" s="3" t="s">
        <v>196</v>
      </c>
    </row>
    <row r="153" spans="1:3" x14ac:dyDescent="0.2">
      <c r="A153" s="3">
        <v>152</v>
      </c>
      <c r="B153" s="3" t="s">
        <v>156</v>
      </c>
      <c r="C153" s="3" t="s">
        <v>188</v>
      </c>
    </row>
    <row r="154" spans="1:3" x14ac:dyDescent="0.2">
      <c r="A154" s="3">
        <v>153</v>
      </c>
      <c r="B154" s="3" t="s">
        <v>157</v>
      </c>
      <c r="C154" s="3" t="s">
        <v>188</v>
      </c>
    </row>
    <row r="155" spans="1:3" x14ac:dyDescent="0.2">
      <c r="A155" s="3">
        <v>154</v>
      </c>
      <c r="B155" s="3" t="s">
        <v>273</v>
      </c>
      <c r="C155" s="3" t="s">
        <v>186</v>
      </c>
    </row>
    <row r="156" spans="1:3" x14ac:dyDescent="0.2">
      <c r="A156" s="3">
        <v>155</v>
      </c>
      <c r="B156" s="3" t="s">
        <v>274</v>
      </c>
      <c r="C156" s="3" t="s">
        <v>191</v>
      </c>
    </row>
    <row r="157" spans="1:3" x14ac:dyDescent="0.2">
      <c r="A157" s="3">
        <v>156</v>
      </c>
      <c r="B157" s="3" t="s">
        <v>275</v>
      </c>
      <c r="C157" s="3" t="s">
        <v>186</v>
      </c>
    </row>
    <row r="158" spans="1:3" x14ac:dyDescent="0.2">
      <c r="A158" s="3">
        <v>157</v>
      </c>
      <c r="B158" s="3" t="s">
        <v>276</v>
      </c>
      <c r="C158" s="3" t="s">
        <v>192</v>
      </c>
    </row>
    <row r="159" spans="1:3" x14ac:dyDescent="0.2">
      <c r="A159" s="3">
        <v>158</v>
      </c>
      <c r="B159" s="3" t="s">
        <v>277</v>
      </c>
      <c r="C159" s="3" t="s">
        <v>185</v>
      </c>
    </row>
    <row r="160" spans="1:3" x14ac:dyDescent="0.2">
      <c r="A160" s="3">
        <v>159</v>
      </c>
      <c r="B160" s="3" t="s">
        <v>278</v>
      </c>
      <c r="C160" s="3" t="s">
        <v>191</v>
      </c>
    </row>
    <row r="161" spans="1:3" x14ac:dyDescent="0.2">
      <c r="A161" s="3">
        <v>160</v>
      </c>
      <c r="B161" s="3" t="s">
        <v>279</v>
      </c>
      <c r="C161" s="3" t="s">
        <v>185</v>
      </c>
    </row>
    <row r="162" spans="1:3" x14ac:dyDescent="0.2">
      <c r="A162" s="3">
        <v>161</v>
      </c>
      <c r="B162" s="3" t="s">
        <v>280</v>
      </c>
      <c r="C162" s="3" t="s">
        <v>192</v>
      </c>
    </row>
    <row r="163" spans="1:3" x14ac:dyDescent="0.2">
      <c r="A163" s="3">
        <v>162</v>
      </c>
      <c r="B163" s="3" t="s">
        <v>281</v>
      </c>
      <c r="C163" s="3" t="s">
        <v>191</v>
      </c>
    </row>
    <row r="164" spans="1:3" x14ac:dyDescent="0.2">
      <c r="A164" s="3">
        <v>163</v>
      </c>
      <c r="B164" s="3" t="s">
        <v>282</v>
      </c>
      <c r="C164" s="3" t="s">
        <v>191</v>
      </c>
    </row>
    <row r="165" spans="1:3" x14ac:dyDescent="0.2">
      <c r="A165" s="3">
        <v>164</v>
      </c>
      <c r="B165" s="3" t="s">
        <v>283</v>
      </c>
      <c r="C165" s="3" t="s">
        <v>191</v>
      </c>
    </row>
    <row r="166" spans="1:3" x14ac:dyDescent="0.2">
      <c r="A166" s="3">
        <v>165</v>
      </c>
      <c r="B166" s="3" t="s">
        <v>284</v>
      </c>
      <c r="C166" s="3" t="s">
        <v>192</v>
      </c>
    </row>
    <row r="167" spans="1:3" x14ac:dyDescent="0.2">
      <c r="A167" s="3">
        <v>166</v>
      </c>
      <c r="B167" s="3" t="s">
        <v>285</v>
      </c>
      <c r="C167" s="3" t="s">
        <v>194</v>
      </c>
    </row>
    <row r="168" spans="1:3" x14ac:dyDescent="0.2">
      <c r="A168" s="3">
        <v>167</v>
      </c>
      <c r="B168" s="3" t="s">
        <v>286</v>
      </c>
      <c r="C168" s="3" t="s">
        <v>194</v>
      </c>
    </row>
    <row r="169" spans="1:3" x14ac:dyDescent="0.2">
      <c r="A169" s="3">
        <v>168</v>
      </c>
      <c r="B169" s="3" t="s">
        <v>287</v>
      </c>
      <c r="C169" s="3" t="s">
        <v>194</v>
      </c>
    </row>
    <row r="170" spans="1:3" x14ac:dyDescent="0.2">
      <c r="A170" s="3">
        <v>169</v>
      </c>
      <c r="B170" s="3" t="s">
        <v>288</v>
      </c>
      <c r="C170" s="3" t="s">
        <v>195</v>
      </c>
    </row>
    <row r="171" spans="1:3" x14ac:dyDescent="0.2">
      <c r="A171" s="3">
        <v>170</v>
      </c>
      <c r="B171" s="3" t="s">
        <v>289</v>
      </c>
      <c r="C171" s="3" t="s">
        <v>196</v>
      </c>
    </row>
    <row r="172" spans="1:3" x14ac:dyDescent="0.2">
      <c r="A172" s="3">
        <v>171</v>
      </c>
      <c r="B172" s="3" t="s">
        <v>290</v>
      </c>
      <c r="C172" s="3" t="s">
        <v>193</v>
      </c>
    </row>
    <row r="173" spans="1:3" x14ac:dyDescent="0.2">
      <c r="A173" s="3">
        <v>172</v>
      </c>
      <c r="B173" s="3" t="s">
        <v>291</v>
      </c>
      <c r="C173" s="3" t="s">
        <v>196</v>
      </c>
    </row>
    <row r="174" spans="1:3" x14ac:dyDescent="0.2">
      <c r="A174" s="3">
        <v>173</v>
      </c>
      <c r="B174" s="3" t="s">
        <v>292</v>
      </c>
      <c r="C174" s="3" t="s">
        <v>193</v>
      </c>
    </row>
    <row r="175" spans="1:3" x14ac:dyDescent="0.2">
      <c r="A175" s="3">
        <v>174</v>
      </c>
      <c r="B175" s="3" t="s">
        <v>293</v>
      </c>
      <c r="C175" s="3" t="s">
        <v>187</v>
      </c>
    </row>
    <row r="176" spans="1:3" x14ac:dyDescent="0.2">
      <c r="A176" s="3">
        <v>175</v>
      </c>
      <c r="B176" s="3" t="s">
        <v>294</v>
      </c>
      <c r="C176" s="3" t="s">
        <v>193</v>
      </c>
    </row>
    <row r="177" spans="1:3" x14ac:dyDescent="0.2">
      <c r="A177" s="3">
        <v>176</v>
      </c>
      <c r="B177" s="3" t="s">
        <v>295</v>
      </c>
      <c r="C177" s="3" t="s">
        <v>187</v>
      </c>
    </row>
    <row r="178" spans="1:3" x14ac:dyDescent="0.2">
      <c r="A178" s="3">
        <v>177</v>
      </c>
      <c r="B178" s="3" t="s">
        <v>296</v>
      </c>
      <c r="C178" s="3" t="s">
        <v>193</v>
      </c>
    </row>
    <row r="179" spans="1:3" x14ac:dyDescent="0.2">
      <c r="A179" s="3">
        <v>178</v>
      </c>
      <c r="B179" s="3" t="s">
        <v>297</v>
      </c>
      <c r="C179" s="3" t="s">
        <v>193</v>
      </c>
    </row>
    <row r="180" spans="1:3" x14ac:dyDescent="0.2">
      <c r="A180" s="3">
        <v>179</v>
      </c>
      <c r="B180" s="3" t="s">
        <v>298</v>
      </c>
      <c r="C180" s="3" t="s">
        <v>193</v>
      </c>
    </row>
    <row r="181" spans="1:3" x14ac:dyDescent="0.2">
      <c r="A181" s="3">
        <v>180</v>
      </c>
      <c r="B181" s="3" t="s">
        <v>299</v>
      </c>
      <c r="C181" s="3" t="s">
        <v>193</v>
      </c>
    </row>
    <row r="182" spans="1:3" x14ac:dyDescent="0.2">
      <c r="A182" s="3">
        <v>181</v>
      </c>
      <c r="B182" s="3" t="s">
        <v>300</v>
      </c>
      <c r="C182" s="3" t="s">
        <v>193</v>
      </c>
    </row>
    <row r="183" spans="1:3" x14ac:dyDescent="0.2">
      <c r="A183" s="3">
        <v>182</v>
      </c>
      <c r="B183" s="3" t="s">
        <v>301</v>
      </c>
      <c r="C183" s="3" t="s">
        <v>195</v>
      </c>
    </row>
    <row r="184" spans="1:3" x14ac:dyDescent="0.2">
      <c r="A184" s="3">
        <v>183</v>
      </c>
      <c r="B184" s="3" t="s">
        <v>302</v>
      </c>
      <c r="C184" s="3" t="s">
        <v>195</v>
      </c>
    </row>
    <row r="185" spans="1:3" x14ac:dyDescent="0.2">
      <c r="A185" s="3">
        <v>184</v>
      </c>
      <c r="B185" s="3" t="s">
        <v>303</v>
      </c>
      <c r="C185" s="3" t="s">
        <v>195</v>
      </c>
    </row>
    <row r="186" spans="1:3" x14ac:dyDescent="0.2">
      <c r="A186" s="3">
        <v>185</v>
      </c>
      <c r="B186" s="3" t="s">
        <v>304</v>
      </c>
      <c r="C186" s="3" t="s">
        <v>195</v>
      </c>
    </row>
    <row r="187" spans="1:3" x14ac:dyDescent="0.2">
      <c r="A187" s="3">
        <v>186</v>
      </c>
      <c r="B187" s="3" t="s">
        <v>305</v>
      </c>
      <c r="C187" s="3" t="s">
        <v>195</v>
      </c>
    </row>
    <row r="188" spans="1:3" x14ac:dyDescent="0.2">
      <c r="A188" s="3">
        <v>187</v>
      </c>
      <c r="B188" s="3" t="s">
        <v>306</v>
      </c>
      <c r="C188" s="3" t="s">
        <v>195</v>
      </c>
    </row>
    <row r="189" spans="1:3" x14ac:dyDescent="0.2">
      <c r="A189" s="3">
        <v>188</v>
      </c>
      <c r="B189" s="3" t="s">
        <v>307</v>
      </c>
      <c r="C189" s="3" t="s">
        <v>195</v>
      </c>
    </row>
    <row r="190" spans="1:3" x14ac:dyDescent="0.2">
      <c r="A190" s="3">
        <v>189</v>
      </c>
      <c r="B190" s="3" t="s">
        <v>308</v>
      </c>
      <c r="C190" s="3" t="s">
        <v>195</v>
      </c>
    </row>
    <row r="191" spans="1:3" x14ac:dyDescent="0.2">
      <c r="A191" s="3">
        <v>190</v>
      </c>
      <c r="B191" s="3" t="s">
        <v>116</v>
      </c>
      <c r="C191" s="3" t="s">
        <v>329</v>
      </c>
    </row>
    <row r="192" spans="1:3" x14ac:dyDescent="0.2">
      <c r="A192" s="3">
        <v>191</v>
      </c>
      <c r="B192" s="3" t="s">
        <v>119</v>
      </c>
      <c r="C192" s="3" t="s">
        <v>329</v>
      </c>
    </row>
    <row r="193" spans="1:3" x14ac:dyDescent="0.2">
      <c r="A193" s="3">
        <v>192</v>
      </c>
      <c r="B193" s="3" t="s">
        <v>120</v>
      </c>
      <c r="C193" s="3" t="s">
        <v>329</v>
      </c>
    </row>
    <row r="194" spans="1:3" x14ac:dyDescent="0.2">
      <c r="A194" s="3">
        <v>193</v>
      </c>
      <c r="B194" s="3" t="s">
        <v>121</v>
      </c>
      <c r="C194" s="3" t="s">
        <v>328</v>
      </c>
    </row>
    <row r="195" spans="1:3" x14ac:dyDescent="0.2">
      <c r="A195" s="3">
        <v>194</v>
      </c>
      <c r="B195" s="3" t="s">
        <v>122</v>
      </c>
      <c r="C195" s="3" t="s">
        <v>327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BCF9CD3-4509-B140-BCEF-48FFA0818AF4}">
          <x14:formula1>
            <xm:f>Meraki!$A:$A</xm:f>
          </x14:formula1>
          <xm:sqref>C2:C1048576</xm:sqref>
        </x14:dataValidation>
        <x14:dataValidation type="list" allowBlank="1" showInputMessage="1" showErrorMessage="1" xr:uid="{CCBA7BE8-4229-DD45-9AD8-ECC5A6F403F0}">
          <x14:formula1>
            <xm:f>Catalyst!$A:$A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E911F-C09E-2343-803E-1FF14D39028F}">
  <sheetPr codeName="Sheet6"/>
  <dimension ref="A1:B195"/>
  <sheetViews>
    <sheetView workbookViewId="0">
      <selection activeCell="A3" sqref="A3"/>
    </sheetView>
  </sheetViews>
  <sheetFormatPr baseColWidth="10" defaultRowHeight="16" x14ac:dyDescent="0.2"/>
  <cols>
    <col min="1" max="2" width="32.1640625" customWidth="1"/>
  </cols>
  <sheetData>
    <row r="1" spans="1:2" x14ac:dyDescent="0.2">
      <c r="A1" s="17" t="s">
        <v>527</v>
      </c>
      <c r="B1" s="18" t="s">
        <v>521</v>
      </c>
    </row>
    <row r="2" spans="1:2" x14ac:dyDescent="0.2">
      <c r="A2" s="32" t="s">
        <v>531</v>
      </c>
      <c r="B2" s="32" t="s">
        <v>522</v>
      </c>
    </row>
    <row r="3" spans="1:2" x14ac:dyDescent="0.2">
      <c r="A3" s="32"/>
      <c r="B3" s="32"/>
    </row>
    <row r="4" spans="1:2" x14ac:dyDescent="0.2">
      <c r="A4" s="32"/>
      <c r="B4" s="32"/>
    </row>
    <row r="5" spans="1:2" x14ac:dyDescent="0.2">
      <c r="A5" s="32"/>
      <c r="B5" s="32"/>
    </row>
    <row r="6" spans="1:2" x14ac:dyDescent="0.2">
      <c r="A6" s="32"/>
      <c r="B6" s="32"/>
    </row>
    <row r="7" spans="1:2" x14ac:dyDescent="0.2">
      <c r="A7" s="32"/>
      <c r="B7" s="32"/>
    </row>
    <row r="8" spans="1:2" x14ac:dyDescent="0.2">
      <c r="A8" s="32"/>
      <c r="B8" s="32"/>
    </row>
    <row r="9" spans="1:2" x14ac:dyDescent="0.2">
      <c r="A9" s="32"/>
      <c r="B9" s="32"/>
    </row>
    <row r="10" spans="1:2" x14ac:dyDescent="0.2">
      <c r="A10" s="32"/>
      <c r="B10" s="32"/>
    </row>
    <row r="11" spans="1:2" x14ac:dyDescent="0.2">
      <c r="A11" s="32"/>
      <c r="B11" s="32"/>
    </row>
    <row r="12" spans="1:2" x14ac:dyDescent="0.2">
      <c r="A12" s="32"/>
      <c r="B12" s="32"/>
    </row>
    <row r="13" spans="1:2" x14ac:dyDescent="0.2">
      <c r="A13" s="32"/>
      <c r="B13" s="32"/>
    </row>
    <row r="14" spans="1:2" x14ac:dyDescent="0.2">
      <c r="A14" s="32"/>
      <c r="B14" s="32"/>
    </row>
    <row r="15" spans="1:2" x14ac:dyDescent="0.2">
      <c r="A15" s="32"/>
      <c r="B15" s="32"/>
    </row>
    <row r="16" spans="1:2" x14ac:dyDescent="0.2">
      <c r="A16" s="32"/>
      <c r="B16" s="32"/>
    </row>
    <row r="17" spans="1:2" x14ac:dyDescent="0.2">
      <c r="A17" s="32"/>
      <c r="B17" s="32"/>
    </row>
    <row r="18" spans="1:2" x14ac:dyDescent="0.2">
      <c r="A18" s="32"/>
      <c r="B18" s="32"/>
    </row>
    <row r="19" spans="1:2" x14ac:dyDescent="0.2">
      <c r="A19" s="32"/>
      <c r="B19" s="32"/>
    </row>
    <row r="20" spans="1:2" x14ac:dyDescent="0.2">
      <c r="A20" s="32"/>
      <c r="B20" s="32"/>
    </row>
    <row r="21" spans="1:2" x14ac:dyDescent="0.2">
      <c r="A21" s="32"/>
      <c r="B21" s="32"/>
    </row>
    <row r="22" spans="1:2" x14ac:dyDescent="0.2">
      <c r="A22" s="32"/>
      <c r="B22" s="32"/>
    </row>
    <row r="23" spans="1:2" x14ac:dyDescent="0.2">
      <c r="A23" s="32"/>
      <c r="B23" s="32"/>
    </row>
    <row r="24" spans="1:2" x14ac:dyDescent="0.2">
      <c r="A24" s="32"/>
      <c r="B24" s="32"/>
    </row>
    <row r="25" spans="1:2" x14ac:dyDescent="0.2">
      <c r="A25" s="32"/>
      <c r="B25" s="32"/>
    </row>
    <row r="26" spans="1:2" x14ac:dyDescent="0.2">
      <c r="A26" s="32"/>
      <c r="B26" s="32"/>
    </row>
    <row r="27" spans="1:2" x14ac:dyDescent="0.2">
      <c r="A27" s="32"/>
      <c r="B27" s="32"/>
    </row>
    <row r="28" spans="1:2" x14ac:dyDescent="0.2">
      <c r="A28" s="32"/>
      <c r="B28" s="32"/>
    </row>
    <row r="29" spans="1:2" x14ac:dyDescent="0.2">
      <c r="A29" s="32"/>
      <c r="B29" s="32"/>
    </row>
    <row r="30" spans="1:2" x14ac:dyDescent="0.2">
      <c r="A30" s="32"/>
      <c r="B30" s="32"/>
    </row>
    <row r="31" spans="1:2" x14ac:dyDescent="0.2">
      <c r="A31" s="32"/>
      <c r="B31" s="32"/>
    </row>
    <row r="32" spans="1:2" x14ac:dyDescent="0.2">
      <c r="A32" s="32"/>
      <c r="B32" s="32"/>
    </row>
    <row r="33" spans="1:2" x14ac:dyDescent="0.2">
      <c r="A33" s="32"/>
      <c r="B33" s="32"/>
    </row>
    <row r="34" spans="1:2" x14ac:dyDescent="0.2">
      <c r="A34" s="32"/>
      <c r="B34" s="32"/>
    </row>
    <row r="35" spans="1:2" x14ac:dyDescent="0.2">
      <c r="A35" s="32"/>
      <c r="B35" s="32"/>
    </row>
    <row r="36" spans="1:2" x14ac:dyDescent="0.2">
      <c r="A36" s="32"/>
      <c r="B36" s="32"/>
    </row>
    <row r="37" spans="1:2" x14ac:dyDescent="0.2">
      <c r="A37" s="32"/>
      <c r="B37" s="32"/>
    </row>
    <row r="38" spans="1:2" x14ac:dyDescent="0.2">
      <c r="A38" s="32"/>
      <c r="B38" s="32"/>
    </row>
    <row r="39" spans="1:2" x14ac:dyDescent="0.2">
      <c r="A39" s="32"/>
      <c r="B39" s="32"/>
    </row>
    <row r="40" spans="1:2" x14ac:dyDescent="0.2">
      <c r="A40" s="32"/>
      <c r="B40" s="32"/>
    </row>
    <row r="41" spans="1:2" x14ac:dyDescent="0.2">
      <c r="A41" s="32"/>
      <c r="B41" s="32"/>
    </row>
    <row r="42" spans="1:2" x14ac:dyDescent="0.2">
      <c r="A42" s="32"/>
      <c r="B42" s="32"/>
    </row>
    <row r="43" spans="1:2" x14ac:dyDescent="0.2">
      <c r="A43" s="32"/>
      <c r="B43" s="32"/>
    </row>
    <row r="44" spans="1:2" x14ac:dyDescent="0.2">
      <c r="A44" s="32"/>
      <c r="B44" s="32"/>
    </row>
    <row r="45" spans="1:2" x14ac:dyDescent="0.2">
      <c r="A45" s="32"/>
      <c r="B45" s="32"/>
    </row>
    <row r="46" spans="1:2" x14ac:dyDescent="0.2">
      <c r="A46" s="32"/>
      <c r="B46" s="32"/>
    </row>
    <row r="47" spans="1:2" x14ac:dyDescent="0.2">
      <c r="A47" s="32"/>
      <c r="B47" s="32"/>
    </row>
    <row r="48" spans="1:2" x14ac:dyDescent="0.2">
      <c r="A48" s="32"/>
      <c r="B48" s="32"/>
    </row>
    <row r="49" spans="1:2" x14ac:dyDescent="0.2">
      <c r="A49" s="32"/>
      <c r="B49" s="32"/>
    </row>
    <row r="50" spans="1:2" x14ac:dyDescent="0.2">
      <c r="A50" s="32"/>
      <c r="B50" s="32"/>
    </row>
    <row r="51" spans="1:2" x14ac:dyDescent="0.2">
      <c r="A51" s="32"/>
      <c r="B51" s="32"/>
    </row>
    <row r="52" spans="1:2" x14ac:dyDescent="0.2">
      <c r="A52" s="32"/>
      <c r="B52" s="32"/>
    </row>
    <row r="53" spans="1:2" x14ac:dyDescent="0.2">
      <c r="A53" s="32"/>
      <c r="B53" s="32"/>
    </row>
    <row r="54" spans="1:2" x14ac:dyDescent="0.2">
      <c r="A54" s="32"/>
      <c r="B54" s="32"/>
    </row>
    <row r="55" spans="1:2" x14ac:dyDescent="0.2">
      <c r="A55" s="32"/>
      <c r="B55" s="32"/>
    </row>
    <row r="56" spans="1:2" x14ac:dyDescent="0.2">
      <c r="A56" s="32"/>
      <c r="B56" s="32"/>
    </row>
    <row r="57" spans="1:2" x14ac:dyDescent="0.2">
      <c r="A57" s="32"/>
      <c r="B57" s="32"/>
    </row>
    <row r="58" spans="1:2" x14ac:dyDescent="0.2">
      <c r="A58" s="32"/>
      <c r="B58" s="32"/>
    </row>
    <row r="59" spans="1:2" x14ac:dyDescent="0.2">
      <c r="A59" s="32"/>
      <c r="B59" s="32"/>
    </row>
    <row r="60" spans="1:2" x14ac:dyDescent="0.2">
      <c r="A60" s="32"/>
      <c r="B60" s="32"/>
    </row>
    <row r="61" spans="1:2" x14ac:dyDescent="0.2">
      <c r="A61" s="32"/>
      <c r="B61" s="32"/>
    </row>
    <row r="62" spans="1:2" x14ac:dyDescent="0.2">
      <c r="A62" s="32"/>
      <c r="B62" s="32"/>
    </row>
    <row r="63" spans="1:2" x14ac:dyDescent="0.2">
      <c r="A63" s="32"/>
      <c r="B63" s="32"/>
    </row>
    <row r="64" spans="1:2" x14ac:dyDescent="0.2">
      <c r="A64" s="32"/>
      <c r="B64" s="32"/>
    </row>
    <row r="65" spans="1:2" x14ac:dyDescent="0.2">
      <c r="A65" s="32"/>
      <c r="B65" s="32"/>
    </row>
    <row r="66" spans="1:2" x14ac:dyDescent="0.2">
      <c r="A66" s="32"/>
      <c r="B66" s="32"/>
    </row>
    <row r="67" spans="1:2" x14ac:dyDescent="0.2">
      <c r="A67" s="32"/>
      <c r="B67" s="32"/>
    </row>
    <row r="68" spans="1:2" x14ac:dyDescent="0.2">
      <c r="A68" s="32"/>
      <c r="B68" s="32"/>
    </row>
    <row r="69" spans="1:2" x14ac:dyDescent="0.2">
      <c r="A69" s="32"/>
      <c r="B69" s="32"/>
    </row>
    <row r="70" spans="1:2" x14ac:dyDescent="0.2">
      <c r="A70" s="32"/>
      <c r="B70" s="32"/>
    </row>
    <row r="71" spans="1:2" x14ac:dyDescent="0.2">
      <c r="A71" s="32"/>
      <c r="B71" s="32"/>
    </row>
    <row r="72" spans="1:2" x14ac:dyDescent="0.2">
      <c r="A72" s="32"/>
      <c r="B72" s="32"/>
    </row>
    <row r="73" spans="1:2" x14ac:dyDescent="0.2">
      <c r="A73" s="32"/>
      <c r="B73" s="32"/>
    </row>
    <row r="74" spans="1:2" x14ac:dyDescent="0.2">
      <c r="A74" s="32"/>
      <c r="B74" s="32"/>
    </row>
    <row r="75" spans="1:2" x14ac:dyDescent="0.2">
      <c r="A75" s="32"/>
      <c r="B75" s="32"/>
    </row>
    <row r="76" spans="1:2" x14ac:dyDescent="0.2">
      <c r="A76" s="32"/>
      <c r="B76" s="32"/>
    </row>
    <row r="77" spans="1:2" x14ac:dyDescent="0.2">
      <c r="A77" s="32"/>
      <c r="B77" s="32"/>
    </row>
    <row r="78" spans="1:2" x14ac:dyDescent="0.2">
      <c r="A78" s="32"/>
      <c r="B78" s="32"/>
    </row>
    <row r="79" spans="1:2" x14ac:dyDescent="0.2">
      <c r="A79" s="32"/>
      <c r="B79" s="32"/>
    </row>
    <row r="80" spans="1:2" x14ac:dyDescent="0.2">
      <c r="A80" s="32"/>
      <c r="B80" s="32"/>
    </row>
    <row r="81" spans="1:2" x14ac:dyDescent="0.2">
      <c r="A81" s="32"/>
      <c r="B81" s="32"/>
    </row>
    <row r="82" spans="1:2" x14ac:dyDescent="0.2">
      <c r="A82" s="32"/>
      <c r="B82" s="32"/>
    </row>
    <row r="83" spans="1:2" x14ac:dyDescent="0.2">
      <c r="A83" s="32"/>
      <c r="B83" s="32"/>
    </row>
    <row r="84" spans="1:2" x14ac:dyDescent="0.2">
      <c r="A84" s="32"/>
      <c r="B84" s="32"/>
    </row>
    <row r="85" spans="1:2" x14ac:dyDescent="0.2">
      <c r="A85" s="32"/>
      <c r="B85" s="32"/>
    </row>
    <row r="86" spans="1:2" x14ac:dyDescent="0.2">
      <c r="A86" s="32"/>
      <c r="B86" s="32"/>
    </row>
    <row r="87" spans="1:2" x14ac:dyDescent="0.2">
      <c r="A87" s="32"/>
      <c r="B87" s="32"/>
    </row>
    <row r="88" spans="1:2" x14ac:dyDescent="0.2">
      <c r="A88" s="32"/>
      <c r="B88" s="32"/>
    </row>
    <row r="89" spans="1:2" x14ac:dyDescent="0.2">
      <c r="A89" s="32"/>
      <c r="B89" s="32"/>
    </row>
    <row r="90" spans="1:2" x14ac:dyDescent="0.2">
      <c r="A90" s="32"/>
      <c r="B90" s="32"/>
    </row>
    <row r="91" spans="1:2" x14ac:dyDescent="0.2">
      <c r="A91" s="32"/>
      <c r="B91" s="32"/>
    </row>
    <row r="92" spans="1:2" x14ac:dyDescent="0.2">
      <c r="A92" s="32"/>
      <c r="B92" s="32"/>
    </row>
    <row r="93" spans="1:2" x14ac:dyDescent="0.2">
      <c r="A93" s="32"/>
      <c r="B93" s="32"/>
    </row>
    <row r="94" spans="1:2" x14ac:dyDescent="0.2">
      <c r="A94" s="32"/>
      <c r="B94" s="32"/>
    </row>
    <row r="95" spans="1:2" x14ac:dyDescent="0.2">
      <c r="A95" s="32"/>
      <c r="B95" s="32"/>
    </row>
    <row r="96" spans="1:2" x14ac:dyDescent="0.2">
      <c r="A96" s="32"/>
      <c r="B96" s="32"/>
    </row>
    <row r="97" spans="1:2" x14ac:dyDescent="0.2">
      <c r="A97" s="32"/>
      <c r="B97" s="32"/>
    </row>
    <row r="98" spans="1:2" x14ac:dyDescent="0.2">
      <c r="A98" s="32"/>
      <c r="B98" s="32"/>
    </row>
    <row r="99" spans="1:2" x14ac:dyDescent="0.2">
      <c r="A99" s="32"/>
      <c r="B99" s="32"/>
    </row>
    <row r="100" spans="1:2" x14ac:dyDescent="0.2">
      <c r="A100" s="32"/>
      <c r="B100" s="32"/>
    </row>
    <row r="101" spans="1:2" x14ac:dyDescent="0.2">
      <c r="A101" s="32"/>
      <c r="B101" s="32"/>
    </row>
    <row r="102" spans="1:2" x14ac:dyDescent="0.2">
      <c r="A102" s="32"/>
      <c r="B102" s="32"/>
    </row>
    <row r="103" spans="1:2" x14ac:dyDescent="0.2">
      <c r="A103" s="32"/>
      <c r="B103" s="32"/>
    </row>
    <row r="104" spans="1:2" x14ac:dyDescent="0.2">
      <c r="A104" s="32"/>
      <c r="B104" s="32"/>
    </row>
    <row r="105" spans="1:2" x14ac:dyDescent="0.2">
      <c r="A105" s="32"/>
      <c r="B105" s="32"/>
    </row>
    <row r="106" spans="1:2" x14ac:dyDescent="0.2">
      <c r="A106" s="32"/>
      <c r="B106" s="32"/>
    </row>
    <row r="107" spans="1:2" x14ac:dyDescent="0.2">
      <c r="A107" s="32"/>
      <c r="B107" s="32"/>
    </row>
    <row r="108" spans="1:2" x14ac:dyDescent="0.2">
      <c r="A108" s="32"/>
      <c r="B108" s="32"/>
    </row>
    <row r="109" spans="1:2" x14ac:dyDescent="0.2">
      <c r="A109" s="32"/>
      <c r="B109" s="32"/>
    </row>
    <row r="110" spans="1:2" x14ac:dyDescent="0.2">
      <c r="A110" s="32"/>
      <c r="B110" s="32"/>
    </row>
    <row r="111" spans="1:2" x14ac:dyDescent="0.2">
      <c r="A111" s="32"/>
      <c r="B111" s="32"/>
    </row>
    <row r="112" spans="1:2" x14ac:dyDescent="0.2">
      <c r="A112" s="32"/>
      <c r="B112" s="32"/>
    </row>
    <row r="113" spans="1:2" x14ac:dyDescent="0.2">
      <c r="A113" s="32"/>
      <c r="B113" s="32"/>
    </row>
    <row r="114" spans="1:2" x14ac:dyDescent="0.2">
      <c r="A114" s="32"/>
      <c r="B114" s="32"/>
    </row>
    <row r="115" spans="1:2" x14ac:dyDescent="0.2">
      <c r="A115" s="32"/>
      <c r="B115" s="32"/>
    </row>
    <row r="116" spans="1:2" x14ac:dyDescent="0.2">
      <c r="A116" s="32"/>
      <c r="B116" s="32"/>
    </row>
    <row r="117" spans="1:2" x14ac:dyDescent="0.2">
      <c r="A117" s="32"/>
      <c r="B117" s="32"/>
    </row>
    <row r="118" spans="1:2" x14ac:dyDescent="0.2">
      <c r="A118" s="32"/>
      <c r="B118" s="32"/>
    </row>
    <row r="119" spans="1:2" x14ac:dyDescent="0.2">
      <c r="A119" s="32"/>
      <c r="B119" s="32"/>
    </row>
    <row r="120" spans="1:2" x14ac:dyDescent="0.2">
      <c r="A120" s="32"/>
      <c r="B120" s="32"/>
    </row>
    <row r="121" spans="1:2" x14ac:dyDescent="0.2">
      <c r="A121" s="32"/>
      <c r="B121" s="32"/>
    </row>
    <row r="122" spans="1:2" x14ac:dyDescent="0.2">
      <c r="A122" s="32"/>
      <c r="B122" s="32"/>
    </row>
    <row r="123" spans="1:2" x14ac:dyDescent="0.2">
      <c r="A123" s="32"/>
      <c r="B123" s="32"/>
    </row>
    <row r="124" spans="1:2" x14ac:dyDescent="0.2">
      <c r="A124" s="32"/>
      <c r="B124" s="32"/>
    </row>
    <row r="125" spans="1:2" x14ac:dyDescent="0.2">
      <c r="A125" s="32"/>
      <c r="B125" s="32"/>
    </row>
    <row r="126" spans="1:2" x14ac:dyDescent="0.2">
      <c r="A126" s="32"/>
      <c r="B126" s="32"/>
    </row>
    <row r="127" spans="1:2" x14ac:dyDescent="0.2">
      <c r="A127" s="32"/>
      <c r="B127" s="32"/>
    </row>
    <row r="128" spans="1:2" x14ac:dyDescent="0.2">
      <c r="A128" s="32"/>
      <c r="B128" s="32"/>
    </row>
    <row r="129" spans="1:2" x14ac:dyDescent="0.2">
      <c r="A129" s="32"/>
      <c r="B129" s="32"/>
    </row>
    <row r="130" spans="1:2" x14ac:dyDescent="0.2">
      <c r="A130" s="32"/>
      <c r="B130" s="32"/>
    </row>
    <row r="131" spans="1:2" x14ac:dyDescent="0.2">
      <c r="A131" s="32"/>
      <c r="B131" s="32"/>
    </row>
    <row r="132" spans="1:2" x14ac:dyDescent="0.2">
      <c r="A132" s="32"/>
      <c r="B132" s="32"/>
    </row>
    <row r="133" spans="1:2" x14ac:dyDescent="0.2">
      <c r="A133" s="32"/>
      <c r="B133" s="32"/>
    </row>
    <row r="134" spans="1:2" x14ac:dyDescent="0.2">
      <c r="A134" s="32"/>
      <c r="B134" s="32"/>
    </row>
    <row r="135" spans="1:2" x14ac:dyDescent="0.2">
      <c r="A135" s="32"/>
      <c r="B135" s="32"/>
    </row>
    <row r="136" spans="1:2" x14ac:dyDescent="0.2">
      <c r="A136" s="32"/>
      <c r="B136" s="32"/>
    </row>
    <row r="137" spans="1:2" x14ac:dyDescent="0.2">
      <c r="A137" s="32"/>
      <c r="B137" s="32"/>
    </row>
    <row r="138" spans="1:2" x14ac:dyDescent="0.2">
      <c r="A138" s="32"/>
      <c r="B138" s="32"/>
    </row>
    <row r="139" spans="1:2" x14ac:dyDescent="0.2">
      <c r="A139" s="32"/>
      <c r="B139" s="32"/>
    </row>
    <row r="140" spans="1:2" x14ac:dyDescent="0.2">
      <c r="A140" s="32"/>
      <c r="B140" s="32"/>
    </row>
    <row r="141" spans="1:2" x14ac:dyDescent="0.2">
      <c r="A141" s="32"/>
      <c r="B141" s="32"/>
    </row>
    <row r="142" spans="1:2" x14ac:dyDescent="0.2">
      <c r="A142" s="32"/>
      <c r="B142" s="32"/>
    </row>
    <row r="143" spans="1:2" x14ac:dyDescent="0.2">
      <c r="A143" s="32"/>
      <c r="B143" s="32"/>
    </row>
    <row r="144" spans="1:2" x14ac:dyDescent="0.2">
      <c r="A144" s="32"/>
      <c r="B144" s="32"/>
    </row>
    <row r="145" spans="1:2" x14ac:dyDescent="0.2">
      <c r="A145" s="32"/>
      <c r="B145" s="32"/>
    </row>
    <row r="146" spans="1:2" x14ac:dyDescent="0.2">
      <c r="A146" s="32"/>
      <c r="B146" s="32"/>
    </row>
    <row r="147" spans="1:2" x14ac:dyDescent="0.2">
      <c r="A147" s="32"/>
      <c r="B147" s="32"/>
    </row>
    <row r="148" spans="1:2" x14ac:dyDescent="0.2">
      <c r="A148" s="32"/>
      <c r="B148" s="32"/>
    </row>
    <row r="149" spans="1:2" x14ac:dyDescent="0.2">
      <c r="A149" s="32"/>
      <c r="B149" s="32"/>
    </row>
    <row r="150" spans="1:2" x14ac:dyDescent="0.2">
      <c r="A150" s="32"/>
      <c r="B150" s="32"/>
    </row>
    <row r="151" spans="1:2" x14ac:dyDescent="0.2">
      <c r="A151" s="32"/>
      <c r="B151" s="32"/>
    </row>
    <row r="152" spans="1:2" x14ac:dyDescent="0.2">
      <c r="A152" s="32"/>
      <c r="B152" s="32"/>
    </row>
    <row r="153" spans="1:2" x14ac:dyDescent="0.2">
      <c r="A153" s="32"/>
      <c r="B153" s="32"/>
    </row>
    <row r="154" spans="1:2" x14ac:dyDescent="0.2">
      <c r="A154" s="32"/>
      <c r="B154" s="32"/>
    </row>
    <row r="155" spans="1:2" x14ac:dyDescent="0.2">
      <c r="A155" s="32"/>
      <c r="B155" s="32"/>
    </row>
    <row r="156" spans="1:2" x14ac:dyDescent="0.2">
      <c r="A156" s="32"/>
      <c r="B156" s="32"/>
    </row>
    <row r="157" spans="1:2" x14ac:dyDescent="0.2">
      <c r="A157" s="32"/>
      <c r="B157" s="32"/>
    </row>
    <row r="158" spans="1:2" x14ac:dyDescent="0.2">
      <c r="A158" s="32"/>
      <c r="B158" s="32"/>
    </row>
    <row r="159" spans="1:2" x14ac:dyDescent="0.2">
      <c r="A159" s="32"/>
      <c r="B159" s="32"/>
    </row>
    <row r="160" spans="1:2" x14ac:dyDescent="0.2">
      <c r="A160" s="32"/>
      <c r="B160" s="32"/>
    </row>
    <row r="161" spans="1:2" x14ac:dyDescent="0.2">
      <c r="A161" s="32"/>
      <c r="B161" s="32"/>
    </row>
    <row r="162" spans="1:2" x14ac:dyDescent="0.2">
      <c r="A162" s="32"/>
      <c r="B162" s="32"/>
    </row>
    <row r="163" spans="1:2" x14ac:dyDescent="0.2">
      <c r="A163" s="32"/>
      <c r="B163" s="32"/>
    </row>
    <row r="164" spans="1:2" x14ac:dyDescent="0.2">
      <c r="A164" s="32"/>
      <c r="B164" s="32"/>
    </row>
    <row r="165" spans="1:2" x14ac:dyDescent="0.2">
      <c r="A165" s="32"/>
      <c r="B165" s="32"/>
    </row>
    <row r="166" spans="1:2" x14ac:dyDescent="0.2">
      <c r="A166" s="32"/>
      <c r="B166" s="32"/>
    </row>
    <row r="167" spans="1:2" x14ac:dyDescent="0.2">
      <c r="A167" s="32"/>
      <c r="B167" s="32"/>
    </row>
    <row r="168" spans="1:2" x14ac:dyDescent="0.2">
      <c r="A168" s="32"/>
      <c r="B168" s="32"/>
    </row>
    <row r="169" spans="1:2" x14ac:dyDescent="0.2">
      <c r="A169" s="32"/>
      <c r="B169" s="32"/>
    </row>
    <row r="170" spans="1:2" x14ac:dyDescent="0.2">
      <c r="A170" s="32"/>
      <c r="B170" s="32"/>
    </row>
    <row r="171" spans="1:2" x14ac:dyDescent="0.2">
      <c r="A171" s="32"/>
      <c r="B171" s="32"/>
    </row>
    <row r="172" spans="1:2" x14ac:dyDescent="0.2">
      <c r="A172" s="32"/>
      <c r="B172" s="32"/>
    </row>
    <row r="173" spans="1:2" x14ac:dyDescent="0.2">
      <c r="A173" s="32"/>
      <c r="B173" s="32"/>
    </row>
    <row r="174" spans="1:2" x14ac:dyDescent="0.2">
      <c r="A174" s="32"/>
      <c r="B174" s="32"/>
    </row>
    <row r="175" spans="1:2" x14ac:dyDescent="0.2">
      <c r="A175" s="32"/>
      <c r="B175" s="32"/>
    </row>
    <row r="176" spans="1:2" x14ac:dyDescent="0.2">
      <c r="A176" s="32"/>
      <c r="B176" s="32"/>
    </row>
    <row r="177" spans="1:2" x14ac:dyDescent="0.2">
      <c r="A177" s="32"/>
      <c r="B177" s="32"/>
    </row>
    <row r="178" spans="1:2" x14ac:dyDescent="0.2">
      <c r="A178" s="32"/>
      <c r="B178" s="32"/>
    </row>
    <row r="179" spans="1:2" x14ac:dyDescent="0.2">
      <c r="A179" s="32"/>
      <c r="B179" s="32"/>
    </row>
    <row r="180" spans="1:2" x14ac:dyDescent="0.2">
      <c r="A180" s="32"/>
      <c r="B180" s="32"/>
    </row>
    <row r="181" spans="1:2" x14ac:dyDescent="0.2">
      <c r="A181" s="32"/>
      <c r="B181" s="32"/>
    </row>
    <row r="182" spans="1:2" x14ac:dyDescent="0.2">
      <c r="A182" s="32"/>
      <c r="B182" s="32"/>
    </row>
    <row r="183" spans="1:2" x14ac:dyDescent="0.2">
      <c r="A183" s="32"/>
      <c r="B183" s="32"/>
    </row>
    <row r="184" spans="1:2" x14ac:dyDescent="0.2">
      <c r="A184" s="32"/>
      <c r="B184" s="32"/>
    </row>
    <row r="185" spans="1:2" x14ac:dyDescent="0.2">
      <c r="A185" s="32"/>
      <c r="B185" s="32"/>
    </row>
    <row r="186" spans="1:2" x14ac:dyDescent="0.2">
      <c r="A186" s="32"/>
      <c r="B186" s="32"/>
    </row>
    <row r="187" spans="1:2" x14ac:dyDescent="0.2">
      <c r="A187" s="32"/>
      <c r="B187" s="32"/>
    </row>
    <row r="188" spans="1:2" x14ac:dyDescent="0.2">
      <c r="A188" s="32"/>
      <c r="B188" s="32"/>
    </row>
    <row r="189" spans="1:2" x14ac:dyDescent="0.2">
      <c r="A189" s="32"/>
      <c r="B189" s="32"/>
    </row>
    <row r="190" spans="1:2" x14ac:dyDescent="0.2">
      <c r="A190" s="32"/>
      <c r="B190" s="32"/>
    </row>
    <row r="191" spans="1:2" x14ac:dyDescent="0.2">
      <c r="A191" s="32"/>
      <c r="B191" s="32"/>
    </row>
    <row r="192" spans="1:2" x14ac:dyDescent="0.2">
      <c r="A192" s="32"/>
      <c r="B192" s="32"/>
    </row>
    <row r="193" spans="1:2" x14ac:dyDescent="0.2">
      <c r="A193" s="32"/>
      <c r="B193" s="32"/>
    </row>
    <row r="194" spans="1:2" x14ac:dyDescent="0.2">
      <c r="A194" s="32"/>
      <c r="B194" s="32"/>
    </row>
    <row r="195" spans="1:2" x14ac:dyDescent="0.2">
      <c r="A195" s="32"/>
      <c r="B195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Version</vt:lpstr>
      <vt:lpstr>Database</vt:lpstr>
      <vt:lpstr>Catalyst</vt:lpstr>
      <vt:lpstr>Meraki</vt:lpstr>
      <vt:lpstr>Mapping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2020-03-11T02:57:44Z</dcterms:created>
  <dcterms:modified xsi:type="dcterms:W3CDTF">2020-04-13T04:47:28Z</dcterms:modified>
</cp:coreProperties>
</file>